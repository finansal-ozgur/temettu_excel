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BuÇalışmaKitabı"/>
  <mc:AlternateContent xmlns:mc="http://schemas.openxmlformats.org/markup-compatibility/2006">
    <mc:Choice Requires="x15">
      <x15ac:absPath xmlns:x15ac="http://schemas.microsoft.com/office/spreadsheetml/2010/11/ac" url="https://d.docs.live.net/90831df86941808c/Belgeler/GitHub/temettu_excel/"/>
    </mc:Choice>
  </mc:AlternateContent>
  <xr:revisionPtr revIDLastSave="51" documentId="11_64A5AED916F0F775DDCFCB2F5F11B475A376D8CA" xr6:coauthVersionLast="45" xr6:coauthVersionMax="45" xr10:uidLastSave="{408C41D8-5405-427C-936D-2284AD6A821D}"/>
  <bookViews>
    <workbookView xWindow="-120" yWindow="-120" windowWidth="20730" windowHeight="11160" xr2:uid="{00000000-000D-0000-FFFF-FFFF00000000}"/>
  </bookViews>
  <sheets>
    <sheet name="Portföy" sheetId="2" r:id="rId1"/>
    <sheet name="Alımlar" sheetId="5" r:id="rId2"/>
    <sheet name="Satımlar" sheetId="9" r:id="rId3"/>
    <sheet name="Temettüler" sheetId="6" r:id="rId4"/>
    <sheet name="AylikRapor" sheetId="10" r:id="rId5"/>
    <sheet name="Parametreler" sheetId="11" r:id="rId6"/>
  </sheets>
  <functionGroups builtInGroupCount="19"/>
  <definedNames>
    <definedName name="Alım_Komisyonu">Parametreler!$B$3</definedName>
    <definedName name="Altın_Aylık">Parametreler!$B$9</definedName>
    <definedName name="Dolar_Aylık">Parametreler!$B$8</definedName>
    <definedName name="Enflasyon">Parametreler!$B$2</definedName>
    <definedName name="GAUTRY">Parametreler!$B$7</definedName>
    <definedName name="Islem_Adet">Portföy!$C$25</definedName>
    <definedName name="Islem_Fiyat">Portföy!$D$25</definedName>
    <definedName name="Islem_Hisse">Portföy!$B$25</definedName>
    <definedName name="Tarih_Degiskeni">Portföy!$C$23</definedName>
    <definedName name="Temettü_Komisyonu">Parametreler!$B$5</definedName>
    <definedName name="Temettü_Net">Parametreler!$B$4</definedName>
    <definedName name="TL_Aylık">Parametreler!$B$10</definedName>
    <definedName name="USDTRY">Parametreler!$B$6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19" i="2" l="1"/>
  <c r="D2" i="6" l="1"/>
  <c r="D3" i="6"/>
  <c r="D4" i="6"/>
  <c r="D5" i="6"/>
  <c r="D6" i="6"/>
  <c r="D7" i="6"/>
  <c r="D8" i="6"/>
  <c r="D9" i="6"/>
  <c r="D10" i="6"/>
  <c r="D11" i="6"/>
  <c r="Q10" i="10" l="1"/>
  <c r="Q14" i="10"/>
  <c r="L3" i="6" l="1"/>
  <c r="L4" i="6"/>
  <c r="L5" i="6"/>
  <c r="L6" i="6"/>
  <c r="L7" i="6"/>
  <c r="L8" i="6" l="1"/>
  <c r="L9" i="6"/>
  <c r="L10" i="6"/>
  <c r="L11" i="6"/>
  <c r="F3" i="6" l="1"/>
  <c r="I3" i="6" s="1"/>
  <c r="F4" i="6"/>
  <c r="I4" i="6" s="1"/>
  <c r="F5" i="6"/>
  <c r="I5" i="6" s="1"/>
  <c r="F6" i="6"/>
  <c r="I6" i="6" s="1"/>
  <c r="F7" i="6"/>
  <c r="I7" i="6" s="1"/>
  <c r="F8" i="6"/>
  <c r="I8" i="6" s="1"/>
  <c r="F9" i="6"/>
  <c r="I9" i="6" s="1"/>
  <c r="F10" i="6"/>
  <c r="I10" i="6" s="1"/>
  <c r="J10" i="6"/>
  <c r="K10" i="6" l="1"/>
  <c r="E25" i="2" l="1"/>
  <c r="C18" i="2" l="1"/>
  <c r="F18" i="2"/>
  <c r="P18" i="2"/>
  <c r="T18" i="2"/>
  <c r="AB18" i="2"/>
  <c r="AD18" i="2"/>
  <c r="D18" i="2" l="1"/>
  <c r="J18" i="2"/>
  <c r="K18" i="2" s="1"/>
  <c r="M18" i="2"/>
  <c r="L18" i="2" s="1"/>
  <c r="F11" i="6"/>
  <c r="I11" i="6" s="1"/>
  <c r="Q18" i="2" l="1"/>
  <c r="F2" i="9"/>
  <c r="G2" i="9" s="1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F2" i="6"/>
  <c r="I2" i="6" s="1"/>
  <c r="O19" i="2" l="1"/>
  <c r="F2" i="5" l="1"/>
  <c r="G2" i="5" s="1"/>
  <c r="J6" i="6" l="1"/>
  <c r="K6" i="6" s="1"/>
  <c r="J8" i="2"/>
  <c r="K8" i="2" s="1"/>
  <c r="F8" i="2"/>
  <c r="J12" i="2"/>
  <c r="K12" i="2" s="1"/>
  <c r="F12" i="2"/>
  <c r="J4" i="2"/>
  <c r="K4" i="2" s="1"/>
  <c r="F4" i="2"/>
  <c r="J14" i="2"/>
  <c r="K14" i="2" s="1"/>
  <c r="F14" i="2"/>
  <c r="J9" i="2"/>
  <c r="K9" i="2" s="1"/>
  <c r="F9" i="2"/>
  <c r="J5" i="2"/>
  <c r="K5" i="2" s="1"/>
  <c r="F5" i="2"/>
  <c r="J7" i="2"/>
  <c r="K7" i="2" s="1"/>
  <c r="F7" i="2"/>
  <c r="J15" i="2"/>
  <c r="K15" i="2" s="1"/>
  <c r="F15" i="2"/>
  <c r="J17" i="2"/>
  <c r="K17" i="2" s="1"/>
  <c r="F17" i="2"/>
  <c r="J6" i="2"/>
  <c r="K6" i="2" s="1"/>
  <c r="F6" i="2"/>
  <c r="F13" i="2"/>
  <c r="J10" i="2"/>
  <c r="K10" i="2" s="1"/>
  <c r="F10" i="2"/>
  <c r="J11" i="2"/>
  <c r="K11" i="2" s="1"/>
  <c r="F11" i="2"/>
  <c r="J3" i="2"/>
  <c r="K3" i="2" s="1"/>
  <c r="F3" i="2"/>
  <c r="J2" i="6"/>
  <c r="J16" i="2"/>
  <c r="K16" i="2" s="1"/>
  <c r="F16" i="2"/>
  <c r="J13" i="2"/>
  <c r="K13" i="2" s="1"/>
  <c r="B19" i="2" l="1"/>
  <c r="D3" i="2" l="1"/>
  <c r="P3" i="2"/>
  <c r="T3" i="2"/>
  <c r="AB3" i="2"/>
  <c r="M3" i="2" l="1"/>
  <c r="L3" i="2" s="1"/>
  <c r="Q3" i="2" l="1"/>
  <c r="M4" i="2" l="1"/>
  <c r="P4" i="2"/>
  <c r="T4" i="2"/>
  <c r="AB4" i="2"/>
  <c r="L4" i="2" l="1"/>
  <c r="Q4" i="2"/>
  <c r="D4" i="2"/>
  <c r="AC18" i="2" l="1"/>
  <c r="L2" i="6" l="1"/>
  <c r="AC4" i="2" l="1"/>
  <c r="P5" i="2" l="1"/>
  <c r="P6" i="2"/>
  <c r="P7" i="2"/>
  <c r="P8" i="2"/>
  <c r="P9" i="2"/>
  <c r="P10" i="2"/>
  <c r="P11" i="2"/>
  <c r="P12" i="2"/>
  <c r="P13" i="2"/>
  <c r="P14" i="2"/>
  <c r="P15" i="2"/>
  <c r="P16" i="2"/>
  <c r="P17" i="2"/>
  <c r="M16" i="2"/>
  <c r="L16" i="2" s="1"/>
  <c r="AC3" i="2" l="1"/>
  <c r="B19" i="6" l="1"/>
  <c r="B20" i="6"/>
  <c r="C19" i="6"/>
  <c r="C20" i="6"/>
  <c r="B18" i="6"/>
  <c r="C18" i="6"/>
  <c r="B17" i="6"/>
  <c r="D20" i="6" l="1"/>
  <c r="E20" i="6"/>
  <c r="D19" i="6"/>
  <c r="E19" i="6"/>
  <c r="D18" i="6"/>
  <c r="E18" i="6"/>
  <c r="E17" i="6"/>
  <c r="M5" i="2" l="1"/>
  <c r="L5" i="2" s="1"/>
  <c r="M6" i="2"/>
  <c r="L6" i="2" s="1"/>
  <c r="M7" i="2"/>
  <c r="L7" i="2" s="1"/>
  <c r="M8" i="2"/>
  <c r="L8" i="2" s="1"/>
  <c r="M9" i="2"/>
  <c r="L9" i="2" s="1"/>
  <c r="M10" i="2"/>
  <c r="L10" i="2" s="1"/>
  <c r="M11" i="2"/>
  <c r="L11" i="2" s="1"/>
  <c r="M12" i="2"/>
  <c r="L12" i="2" s="1"/>
  <c r="M13" i="2"/>
  <c r="L13" i="2" s="1"/>
  <c r="M14" i="2"/>
  <c r="L14" i="2" s="1"/>
  <c r="M15" i="2"/>
  <c r="L15" i="2" s="1"/>
  <c r="M17" i="2"/>
  <c r="L17" i="2" s="1"/>
  <c r="C19" i="2" l="1"/>
  <c r="J9" i="6"/>
  <c r="K9" i="6" s="1"/>
  <c r="D17" i="2"/>
  <c r="J8" i="6" l="1"/>
  <c r="K8" i="6" s="1"/>
  <c r="J7" i="6"/>
  <c r="K7" i="6" s="1"/>
  <c r="J4" i="6"/>
  <c r="K4" i="6" s="1"/>
  <c r="J3" i="6"/>
  <c r="K3" i="6" s="1"/>
  <c r="J5" i="6"/>
  <c r="K5" i="6" s="1"/>
  <c r="J11" i="6"/>
  <c r="AC8" i="2"/>
  <c r="AD8" i="2"/>
  <c r="AD3" i="2"/>
  <c r="AD4" i="2"/>
  <c r="AD11" i="2"/>
  <c r="AD14" i="2"/>
  <c r="AC14" i="2"/>
  <c r="AC6" i="2"/>
  <c r="AD12" i="2"/>
  <c r="AC10" i="2"/>
  <c r="B16" i="6"/>
  <c r="E16" i="6" s="1"/>
  <c r="B15" i="6"/>
  <c r="E15" i="6" s="1"/>
  <c r="AD7" i="2"/>
  <c r="AD9" i="2"/>
  <c r="AD6" i="2"/>
  <c r="AD10" i="2"/>
  <c r="AD5" i="2"/>
  <c r="AC11" i="2"/>
  <c r="AC7" i="2"/>
  <c r="AC12" i="2"/>
  <c r="AC17" i="2"/>
  <c r="AC5" i="2"/>
  <c r="AD16" i="2"/>
  <c r="AC13" i="2"/>
  <c r="AD13" i="2"/>
  <c r="AC16" i="2"/>
  <c r="AC15" i="2"/>
  <c r="AD15" i="2"/>
  <c r="AC9" i="2"/>
  <c r="AD17" i="2"/>
  <c r="I12" i="6"/>
  <c r="K11" i="6" l="1"/>
  <c r="B21" i="6"/>
  <c r="D14" i="2"/>
  <c r="T14" i="2"/>
  <c r="AB14" i="2"/>
  <c r="T17" i="2"/>
  <c r="T16" i="2"/>
  <c r="T15" i="2"/>
  <c r="T13" i="2"/>
  <c r="T12" i="2"/>
  <c r="T11" i="2"/>
  <c r="T10" i="2"/>
  <c r="T9" i="2"/>
  <c r="T8" i="2"/>
  <c r="T7" i="2"/>
  <c r="T6" i="2"/>
  <c r="T5" i="2"/>
  <c r="AB5" i="2"/>
  <c r="AB6" i="2"/>
  <c r="AB7" i="2"/>
  <c r="AB8" i="2"/>
  <c r="AB9" i="2"/>
  <c r="AB10" i="2"/>
  <c r="AB11" i="2"/>
  <c r="AB12" i="2"/>
  <c r="AB13" i="2"/>
  <c r="AB15" i="2"/>
  <c r="AB16" i="2"/>
  <c r="AB17" i="2"/>
  <c r="AD19" i="2"/>
  <c r="C17" i="6" l="1"/>
  <c r="C16" i="6"/>
  <c r="D16" i="6" s="1"/>
  <c r="C15" i="6"/>
  <c r="D15" i="6" s="1"/>
  <c r="K2" i="6"/>
  <c r="J12" i="6"/>
  <c r="Q14" i="2"/>
  <c r="Q17" i="2"/>
  <c r="D5" i="2"/>
  <c r="D6" i="2"/>
  <c r="D7" i="2"/>
  <c r="D8" i="2"/>
  <c r="D9" i="2"/>
  <c r="D10" i="2"/>
  <c r="D11" i="2"/>
  <c r="D12" i="2"/>
  <c r="D13" i="2"/>
  <c r="D15" i="2"/>
  <c r="D16" i="2"/>
  <c r="D17" i="6" l="1"/>
  <c r="C21" i="6"/>
  <c r="D21" i="6" s="1"/>
  <c r="K12" i="6"/>
  <c r="AC19" i="2"/>
  <c r="Q10" i="2"/>
  <c r="Q15" i="2" l="1"/>
  <c r="Q13" i="2"/>
  <c r="Q9" i="2"/>
  <c r="Q12" i="2"/>
  <c r="Q8" i="2"/>
  <c r="Q5" i="2"/>
  <c r="Q16" i="2"/>
  <c r="Q11" i="2"/>
  <c r="Q7" i="2"/>
  <c r="Q6" i="2"/>
  <c r="Q19" i="2" l="1"/>
  <c r="M19" i="2"/>
  <c r="P19" i="2"/>
  <c r="R18" i="2" s="1"/>
  <c r="H28" i="2" s="1"/>
  <c r="N18" i="2" l="1"/>
  <c r="N4" i="2"/>
  <c r="N3" i="2"/>
  <c r="R4" i="2"/>
  <c r="J28" i="2" s="1"/>
  <c r="R3" i="2"/>
  <c r="L19" i="2"/>
  <c r="K19" i="2"/>
  <c r="N14" i="2"/>
  <c r="R14" i="2"/>
  <c r="R10" i="2"/>
  <c r="R17" i="2"/>
  <c r="N10" i="2"/>
  <c r="N17" i="2"/>
  <c r="N7" i="2"/>
  <c r="N11" i="2"/>
  <c r="N5" i="2"/>
  <c r="N8" i="2"/>
  <c r="N12" i="2"/>
  <c r="N9" i="2"/>
  <c r="N13" i="2"/>
  <c r="N15" i="2"/>
  <c r="N6" i="2"/>
  <c r="N16" i="2"/>
  <c r="R13" i="2"/>
  <c r="R8" i="2"/>
  <c r="R16" i="2"/>
  <c r="J25" i="2" s="1"/>
  <c r="R11" i="2"/>
  <c r="R6" i="2"/>
  <c r="R15" i="2"/>
  <c r="R9" i="2"/>
  <c r="J29" i="2" s="1"/>
  <c r="R12" i="2"/>
  <c r="R5" i="2"/>
  <c r="R7" i="2"/>
  <c r="D19" i="2"/>
  <c r="J24" i="2" l="1"/>
  <c r="J26" i="2"/>
  <c r="J23" i="2"/>
  <c r="H25" i="2"/>
  <c r="H27" i="2"/>
  <c r="H26" i="2"/>
  <c r="H24" i="2"/>
  <c r="H23" i="2"/>
  <c r="G4" i="2" l="1"/>
  <c r="G17" i="2"/>
  <c r="F19" i="2"/>
  <c r="G5" i="2"/>
  <c r="G15" i="2"/>
  <c r="G9" i="2"/>
  <c r="G16" i="2"/>
  <c r="G11" i="2"/>
  <c r="G3" i="2"/>
  <c r="G6" i="2"/>
  <c r="G13" i="2"/>
  <c r="G18" i="2"/>
  <c r="G10" i="2"/>
  <c r="G14" i="2"/>
  <c r="G8" i="2"/>
  <c r="G12" i="2"/>
  <c r="G7" i="2"/>
  <c r="H5" i="2" l="1"/>
  <c r="W5" i="2" s="1"/>
  <c r="E7" i="2"/>
  <c r="H8" i="2"/>
  <c r="W8" i="2" s="1"/>
  <c r="E6" i="2"/>
  <c r="H15" i="2"/>
  <c r="W15" i="2" s="1"/>
  <c r="H17" i="2"/>
  <c r="W17" i="2" s="1"/>
  <c r="E10" i="2"/>
  <c r="I18" i="2"/>
  <c r="H16" i="2"/>
  <c r="W16" i="2" s="1"/>
  <c r="H12" i="2"/>
  <c r="W12" i="2" s="1"/>
  <c r="E14" i="2"/>
  <c r="H4" i="2"/>
  <c r="W4" i="2" s="1"/>
  <c r="E13" i="2"/>
  <c r="I3" i="2"/>
  <c r="E11" i="2"/>
  <c r="I9" i="2"/>
  <c r="H3" i="2"/>
  <c r="W3" i="2" s="1"/>
  <c r="I15" i="2"/>
  <c r="I11" i="2"/>
  <c r="E4" i="2"/>
  <c r="I10" i="2"/>
  <c r="I7" i="2"/>
  <c r="H18" i="2"/>
  <c r="W18" i="2" s="1"/>
  <c r="H10" i="2"/>
  <c r="W10" i="2" s="1"/>
  <c r="H13" i="2"/>
  <c r="W13" i="2" s="1"/>
  <c r="E8" i="2"/>
  <c r="E5" i="2"/>
  <c r="I13" i="2"/>
  <c r="E15" i="2"/>
  <c r="E3" i="2"/>
  <c r="H6" i="2"/>
  <c r="W6" i="2" s="1"/>
  <c r="I4" i="2"/>
  <c r="I6" i="2"/>
  <c r="H7" i="2"/>
  <c r="W7" i="2" s="1"/>
  <c r="H14" i="2"/>
  <c r="W14" i="2" s="1"/>
  <c r="E18" i="2"/>
  <c r="H11" i="2"/>
  <c r="W11" i="2" s="1"/>
  <c r="H9" i="2"/>
  <c r="W9" i="2" s="1"/>
  <c r="E17" i="2"/>
  <c r="I17" i="2"/>
  <c r="E9" i="2"/>
  <c r="I14" i="2"/>
  <c r="I16" i="2"/>
  <c r="G19" i="2"/>
  <c r="I8" i="2"/>
  <c r="E16" i="2"/>
  <c r="I5" i="2"/>
  <c r="E12" i="2"/>
  <c r="I12" i="2"/>
  <c r="X10" i="2" l="1"/>
  <c r="X15" i="2"/>
  <c r="X8" i="2"/>
  <c r="X5" i="2"/>
  <c r="X17" i="2"/>
  <c r="X16" i="2"/>
  <c r="X4" i="2"/>
  <c r="X7" i="2"/>
  <c r="X6" i="2"/>
  <c r="X14" i="2"/>
  <c r="X12" i="2"/>
  <c r="I19" i="2"/>
  <c r="H19" i="2"/>
  <c r="X18" i="2"/>
  <c r="X9" i="2"/>
  <c r="X3" i="2"/>
  <c r="X11" i="2"/>
  <c r="X13" i="2"/>
  <c r="Y10" i="2" l="1"/>
  <c r="Z10" i="2" s="1"/>
  <c r="AA10" i="2" s="1"/>
  <c r="Y5" i="2"/>
  <c r="Z5" i="2" s="1"/>
  <c r="AA5" i="2" s="1"/>
  <c r="Y8" i="2"/>
  <c r="Z8" i="2" s="1"/>
  <c r="AA8" i="2" s="1"/>
  <c r="Y15" i="2"/>
  <c r="Z15" i="2" s="1"/>
  <c r="AA15" i="2" s="1"/>
  <c r="Y4" i="2"/>
  <c r="Z4" i="2" s="1"/>
  <c r="AA4" i="2" s="1"/>
  <c r="Y16" i="2"/>
  <c r="Z16" i="2" s="1"/>
  <c r="AA16" i="2" s="1"/>
  <c r="Y17" i="2"/>
  <c r="Z17" i="2" s="1"/>
  <c r="AA17" i="2" s="1"/>
  <c r="Y13" i="2"/>
  <c r="Z13" i="2" s="1"/>
  <c r="AA13" i="2" s="1"/>
  <c r="Y11" i="2"/>
  <c r="Z11" i="2" s="1"/>
  <c r="AA11" i="2" s="1"/>
  <c r="Y18" i="2"/>
  <c r="Z18" i="2" s="1"/>
  <c r="AA18" i="2" s="1"/>
  <c r="Y12" i="2"/>
  <c r="Z12" i="2" s="1"/>
  <c r="AA12" i="2" s="1"/>
  <c r="Y3" i="2"/>
  <c r="Z3" i="2" s="1"/>
  <c r="AA3" i="2" s="1"/>
  <c r="Y9" i="2"/>
  <c r="Z9" i="2" s="1"/>
  <c r="AA9" i="2" s="1"/>
  <c r="Y14" i="2"/>
  <c r="Z14" i="2" s="1"/>
  <c r="AA14" i="2" s="1"/>
  <c r="Y6" i="2"/>
  <c r="Z6" i="2" s="1"/>
  <c r="AA6" i="2" s="1"/>
  <c r="Y7" i="2"/>
  <c r="Z7" i="2" s="1"/>
  <c r="AA7" i="2" s="1"/>
</calcChain>
</file>

<file path=xl/sharedStrings.xml><?xml version="1.0" encoding="utf-8"?>
<sst xmlns="http://schemas.openxmlformats.org/spreadsheetml/2006/main" count="158" uniqueCount="93">
  <si>
    <t>BOLUC</t>
  </si>
  <si>
    <t>CIMSA</t>
  </si>
  <si>
    <t>PETUN</t>
  </si>
  <si>
    <t>HEKTS</t>
  </si>
  <si>
    <t>AKSA</t>
  </si>
  <si>
    <t>EREGL</t>
  </si>
  <si>
    <t>AYGAZ</t>
  </si>
  <si>
    <t>EGEEN</t>
  </si>
  <si>
    <t>ADANA</t>
  </si>
  <si>
    <t>DESPC</t>
  </si>
  <si>
    <t>SODA</t>
  </si>
  <si>
    <t>FROTO</t>
  </si>
  <si>
    <t>Yatırılan Para</t>
  </si>
  <si>
    <t>Değer</t>
  </si>
  <si>
    <t>Kar</t>
  </si>
  <si>
    <t>Maliyet</t>
  </si>
  <si>
    <t>Hedef Tutar</t>
  </si>
  <si>
    <t>Eksik Tutar</t>
  </si>
  <si>
    <t>Fiyat</t>
  </si>
  <si>
    <t>ALIM HESAPLAMA</t>
  </si>
  <si>
    <t>Hedef Yüzdesi</t>
  </si>
  <si>
    <t>Oran</t>
  </si>
  <si>
    <t>Hedef</t>
  </si>
  <si>
    <t>Mevcut</t>
  </si>
  <si>
    <t>Güncel F.</t>
  </si>
  <si>
    <t>Hisse</t>
  </si>
  <si>
    <t>Çimento</t>
  </si>
  <si>
    <t>Kimya</t>
  </si>
  <si>
    <t>Otomotiv</t>
  </si>
  <si>
    <t>Tarım</t>
  </si>
  <si>
    <t>Demir</t>
  </si>
  <si>
    <t>Kar%</t>
  </si>
  <si>
    <t>Adet</t>
  </si>
  <si>
    <t>Tutar</t>
  </si>
  <si>
    <t>ENJSA</t>
  </si>
  <si>
    <t>PORTFÖY</t>
  </si>
  <si>
    <t>Hisse2</t>
  </si>
  <si>
    <t>USDTRY</t>
  </si>
  <si>
    <t>TEMETTÜ BİLGİLERİ</t>
  </si>
  <si>
    <t>Tarih</t>
  </si>
  <si>
    <t>Hisse5</t>
  </si>
  <si>
    <t>TTRAK</t>
  </si>
  <si>
    <t>ISDMR</t>
  </si>
  <si>
    <t>Alım Fiyatı</t>
  </si>
  <si>
    <t>Komisyon Tutarı</t>
  </si>
  <si>
    <t>Toplam Tutar</t>
  </si>
  <si>
    <t>Koç</t>
  </si>
  <si>
    <t>Sabancı</t>
  </si>
  <si>
    <t>Oyak</t>
  </si>
  <si>
    <t>İş Grubu</t>
  </si>
  <si>
    <t>Net Yatırılan</t>
  </si>
  <si>
    <t>Reel Maliyet</t>
  </si>
  <si>
    <t>Enflasyon</t>
  </si>
  <si>
    <t>Net</t>
  </si>
  <si>
    <t>Parametreler</t>
  </si>
  <si>
    <t>Brüt</t>
  </si>
  <si>
    <t>Lot</t>
  </si>
  <si>
    <t>Toplam</t>
  </si>
  <si>
    <t>Maliyetten Verim</t>
  </si>
  <si>
    <t>Gelecek Temettü</t>
  </si>
  <si>
    <t>Alınan Temettü</t>
  </si>
  <si>
    <t>Temettü Net</t>
  </si>
  <si>
    <t>Temettü Km.</t>
  </si>
  <si>
    <t>Alım Km.</t>
  </si>
  <si>
    <t>Kontrol</t>
  </si>
  <si>
    <t>Düzeltme</t>
  </si>
  <si>
    <t>Katsayı</t>
  </si>
  <si>
    <t>Özel Net</t>
  </si>
  <si>
    <t>1</t>
  </si>
  <si>
    <t>Yıl</t>
  </si>
  <si>
    <t>Verim</t>
  </si>
  <si>
    <t>Temettü</t>
  </si>
  <si>
    <t>Aylık</t>
  </si>
  <si>
    <t>Reel Kar%</t>
  </si>
  <si>
    <t>Reel Kar</t>
  </si>
  <si>
    <t>T. Tar.</t>
  </si>
  <si>
    <t>Katsayılı Sır.</t>
  </si>
  <si>
    <t>GAUTRY</t>
  </si>
  <si>
    <t>Yatırım O.</t>
  </si>
  <si>
    <t>Açık</t>
  </si>
  <si>
    <t>E</t>
  </si>
  <si>
    <t>Ö</t>
  </si>
  <si>
    <t>Sır.</t>
  </si>
  <si>
    <t>Altın Aylık</t>
  </si>
  <si>
    <t>Dolar Aylık</t>
  </si>
  <si>
    <t>TL Aylık</t>
  </si>
  <si>
    <t>Firma</t>
  </si>
  <si>
    <t>Silinebilir</t>
  </si>
  <si>
    <t>Satım Fiyatı</t>
  </si>
  <si>
    <t>TUPRS</t>
  </si>
  <si>
    <t>ALIMLAR</t>
  </si>
  <si>
    <t>SATIŞLAR</t>
  </si>
  <si>
    <t>ŞUBAT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</si>
</sst>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,##0\ &quot;₺&quot;"/>
    <numFmt numFmtId="165" formatCode="#,##0.00\ [$₺-41F]"/>
    <numFmt numFmtId="166" formatCode="#,##0\ [$₺-41F]"/>
    <numFmt numFmtId="167" formatCode="_-* #,##0.00\ [$₺-41F]_-;\-* #,##0.00\ [$₺-41F]_-;_-* &quot;-&quot;??\ [$₺-41F]_-;_-@_-"/>
    <numFmt numFmtId="168" formatCode="#,##0.00\ &quot;₺&quot;"/>
    <numFmt numFmtId="169" formatCode="#,##0.000\ [$₺-41F]"/>
    <numFmt numFmtId="170" formatCode="0.00000"/>
    <numFmt numFmtId="171" formatCode="0.0000"/>
    <numFmt numFmtId="172" formatCode="dd/mm/yyyy"/>
  </numFmts>
  <fonts count="10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8"/>
      <color theme="0"/>
      <name val="Calibri"/>
      <family val="2"/>
      <scheme val="minor"/>
    </font>
    <font>
      <sz val="11"/>
      <color rgb="FF000000"/>
      <name val="Calibri"/>
      <family val="2"/>
      <charset val="162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8"/>
      <color theme="0"/>
      <name val="Calibri"/>
      <family val="2"/>
      <charset val="162"/>
      <scheme val="minor"/>
    </font>
    <font>
      <b/>
      <sz val="11"/>
      <color rgb="FF0070C0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ck">
        <color theme="0"/>
      </top>
      <bottom style="thin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1" fillId="6" borderId="0" applyNumberFormat="0" applyBorder="0" applyAlignment="0" applyProtection="0"/>
    <xf numFmtId="0" fontId="2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1" fillId="18" borderId="0" applyNumberFormat="0" applyBorder="0" applyAlignment="0" applyProtection="0"/>
  </cellStyleXfs>
  <cellXfs count="109">
    <xf numFmtId="0" fontId="0" fillId="0" borderId="0" xfId="0"/>
    <xf numFmtId="9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0" borderId="0" xfId="0" applyBorder="1"/>
    <xf numFmtId="0" fontId="1" fillId="9" borderId="1" xfId="7" applyBorder="1"/>
    <xf numFmtId="10" fontId="0" fillId="0" borderId="0" xfId="0" applyNumberFormat="1"/>
    <xf numFmtId="0" fontId="0" fillId="9" borderId="1" xfId="7" applyFont="1" applyBorder="1"/>
    <xf numFmtId="165" fontId="0" fillId="0" borderId="0" xfId="0" applyNumberFormat="1"/>
    <xf numFmtId="0" fontId="1" fillId="9" borderId="4" xfId="7" applyBorder="1"/>
    <xf numFmtId="10" fontId="2" fillId="4" borderId="3" xfId="3" applyNumberFormat="1" applyBorder="1"/>
    <xf numFmtId="10" fontId="2" fillId="4" borderId="1" xfId="3" applyNumberFormat="1" applyBorder="1"/>
    <xf numFmtId="14" fontId="0" fillId="0" borderId="0" xfId="0" applyNumberFormat="1"/>
    <xf numFmtId="0" fontId="2" fillId="12" borderId="1" xfId="10" applyBorder="1"/>
    <xf numFmtId="0" fontId="5" fillId="12" borderId="1" xfId="10" applyFont="1" applyBorder="1"/>
    <xf numFmtId="0" fontId="5" fillId="8" borderId="7" xfId="6" applyFont="1" applyBorder="1" applyAlignment="1">
      <alignment horizontal="center"/>
    </xf>
    <xf numFmtId="0" fontId="5" fillId="8" borderId="1" xfId="6" applyFont="1" applyBorder="1" applyAlignment="1">
      <alignment horizontal="center"/>
    </xf>
    <xf numFmtId="0" fontId="2" fillId="10" borderId="0" xfId="8" applyAlignment="1">
      <alignment horizontal="center"/>
    </xf>
    <xf numFmtId="0" fontId="5" fillId="5" borderId="0" xfId="4" applyNumberFormat="1" applyFont="1"/>
    <xf numFmtId="0" fontId="6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5" fillId="5" borderId="0" xfId="4" applyFont="1" applyAlignment="1">
      <alignment horizontal="center"/>
    </xf>
    <xf numFmtId="1" fontId="0" fillId="0" borderId="0" xfId="0" applyNumberFormat="1"/>
    <xf numFmtId="166" fontId="0" fillId="0" borderId="0" xfId="0" applyNumberFormat="1"/>
    <xf numFmtId="0" fontId="5" fillId="10" borderId="0" xfId="8" applyFont="1"/>
    <xf numFmtId="164" fontId="2" fillId="10" borderId="0" xfId="8" applyNumberFormat="1" applyAlignment="1">
      <alignment horizontal="center"/>
    </xf>
    <xf numFmtId="165" fontId="1" fillId="11" borderId="0" xfId="9" applyNumberFormat="1"/>
    <xf numFmtId="167" fontId="0" fillId="0" borderId="0" xfId="0" applyNumberFormat="1"/>
    <xf numFmtId="168" fontId="1" fillId="11" borderId="0" xfId="9" applyNumberFormat="1"/>
    <xf numFmtId="0" fontId="0" fillId="9" borderId="0" xfId="7" applyFont="1" applyBorder="1"/>
    <xf numFmtId="0" fontId="8" fillId="6" borderId="0" xfId="5" applyNumberFormat="1" applyFont="1"/>
    <xf numFmtId="1" fontId="8" fillId="6" borderId="0" xfId="5" applyNumberFormat="1" applyFont="1"/>
    <xf numFmtId="2" fontId="8" fillId="6" borderId="0" xfId="5" applyNumberFormat="1" applyFont="1"/>
    <xf numFmtId="166" fontId="8" fillId="6" borderId="0" xfId="5" applyNumberFormat="1" applyFont="1"/>
    <xf numFmtId="16" fontId="0" fillId="0" borderId="0" xfId="0" applyNumberFormat="1"/>
    <xf numFmtId="10" fontId="0" fillId="0" borderId="1" xfId="0" applyNumberFormat="1" applyBorder="1"/>
    <xf numFmtId="167" fontId="0" fillId="0" borderId="1" xfId="0" applyNumberFormat="1" applyBorder="1"/>
    <xf numFmtId="0" fontId="0" fillId="0" borderId="0" xfId="0" applyAlignment="1">
      <alignment horizontal="center"/>
    </xf>
    <xf numFmtId="0" fontId="5" fillId="14" borderId="1" xfId="11" applyFont="1" applyBorder="1"/>
    <xf numFmtId="169" fontId="0" fillId="0" borderId="0" xfId="0" applyNumberFormat="1"/>
    <xf numFmtId="165" fontId="5" fillId="5" borderId="0" xfId="4" applyNumberFormat="1" applyFont="1"/>
    <xf numFmtId="170" fontId="5" fillId="14" borderId="1" xfId="11" applyNumberFormat="1" applyFont="1" applyBorder="1" applyAlignment="1">
      <alignment horizontal="right"/>
    </xf>
    <xf numFmtId="2" fontId="5" fillId="14" borderId="1" xfId="11" applyNumberFormat="1" applyFont="1" applyBorder="1" applyAlignment="1">
      <alignment horizontal="right"/>
    </xf>
    <xf numFmtId="171" fontId="5" fillId="14" borderId="1" xfId="11" applyNumberFormat="1" applyFont="1" applyBorder="1" applyAlignment="1">
      <alignment horizontal="right"/>
    </xf>
    <xf numFmtId="1" fontId="5" fillId="7" borderId="9" xfId="0" applyNumberFormat="1" applyFont="1" applyFill="1" applyBorder="1" applyAlignment="1">
      <alignment horizontal="center"/>
    </xf>
    <xf numFmtId="0" fontId="1" fillId="6" borderId="0" xfId="5" applyNumberFormat="1"/>
    <xf numFmtId="49" fontId="0" fillId="0" borderId="0" xfId="0" applyNumberFormat="1"/>
    <xf numFmtId="14" fontId="0" fillId="0" borderId="0" xfId="0" applyNumberFormat="1" applyAlignment="1">
      <alignment horizontal="center"/>
    </xf>
    <xf numFmtId="165" fontId="5" fillId="5" borderId="1" xfId="4" applyNumberFormat="1" applyFont="1" applyBorder="1"/>
    <xf numFmtId="0" fontId="0" fillId="6" borderId="0" xfId="5" applyNumberFormat="1" applyFont="1" applyAlignment="1">
      <alignment horizontal="center"/>
    </xf>
    <xf numFmtId="0" fontId="0" fillId="15" borderId="1" xfId="0" applyFont="1" applyFill="1" applyBorder="1"/>
    <xf numFmtId="0" fontId="0" fillId="16" borderId="1" xfId="0" applyFont="1" applyFill="1" applyBorder="1"/>
    <xf numFmtId="165" fontId="5" fillId="7" borderId="1" xfId="0" applyNumberFormat="1" applyFont="1" applyFill="1" applyBorder="1"/>
    <xf numFmtId="0" fontId="5" fillId="19" borderId="10" xfId="0" applyFont="1" applyFill="1" applyBorder="1" applyAlignment="1">
      <alignment horizontal="center"/>
    </xf>
    <xf numFmtId="0" fontId="5" fillId="19" borderId="11" xfId="0" applyFont="1" applyFill="1" applyBorder="1" applyAlignment="1">
      <alignment horizontal="center"/>
    </xf>
    <xf numFmtId="0" fontId="5" fillId="19" borderId="5" xfId="0" applyFont="1" applyFill="1" applyBorder="1"/>
    <xf numFmtId="10" fontId="0" fillId="15" borderId="1" xfId="0" applyNumberFormat="1" applyFont="1" applyFill="1" applyBorder="1"/>
    <xf numFmtId="165" fontId="0" fillId="15" borderId="1" xfId="0" applyNumberFormat="1" applyFont="1" applyFill="1" applyBorder="1"/>
    <xf numFmtId="10" fontId="0" fillId="16" borderId="1" xfId="0" applyNumberFormat="1" applyFont="1" applyFill="1" applyBorder="1"/>
    <xf numFmtId="165" fontId="0" fillId="16" borderId="1" xfId="0" applyNumberFormat="1" applyFont="1" applyFill="1" applyBorder="1"/>
    <xf numFmtId="0" fontId="0" fillId="16" borderId="1" xfId="0" applyNumberFormat="1" applyFont="1" applyFill="1" applyBorder="1"/>
    <xf numFmtId="0" fontId="5" fillId="19" borderId="12" xfId="0" applyFont="1" applyFill="1" applyBorder="1"/>
    <xf numFmtId="0" fontId="5" fillId="19" borderId="9" xfId="0" applyFont="1" applyFill="1" applyBorder="1"/>
    <xf numFmtId="10" fontId="5" fillId="19" borderId="9" xfId="0" applyNumberFormat="1" applyFont="1" applyFill="1" applyBorder="1"/>
    <xf numFmtId="164" fontId="5" fillId="19" borderId="9" xfId="0" applyNumberFormat="1" applyFont="1" applyFill="1" applyBorder="1"/>
    <xf numFmtId="164" fontId="5" fillId="19" borderId="11" xfId="0" applyNumberFormat="1" applyFont="1" applyFill="1" applyBorder="1" applyAlignment="1">
      <alignment horizontal="center"/>
    </xf>
    <xf numFmtId="167" fontId="0" fillId="15" borderId="1" xfId="0" applyNumberFormat="1" applyFont="1" applyFill="1" applyBorder="1"/>
    <xf numFmtId="164" fontId="0" fillId="15" borderId="1" xfId="0" applyNumberFormat="1" applyFont="1" applyFill="1" applyBorder="1"/>
    <xf numFmtId="165" fontId="5" fillId="5" borderId="1" xfId="4" applyNumberFormat="1" applyFont="1" applyFill="1" applyBorder="1"/>
    <xf numFmtId="167" fontId="0" fillId="16" borderId="1" xfId="0" applyNumberFormat="1" applyFont="1" applyFill="1" applyBorder="1"/>
    <xf numFmtId="164" fontId="0" fillId="16" borderId="1" xfId="0" applyNumberFormat="1" applyFont="1" applyFill="1" applyBorder="1"/>
    <xf numFmtId="10" fontId="5" fillId="19" borderId="1" xfId="0" applyNumberFormat="1" applyFont="1" applyFill="1" applyBorder="1"/>
    <xf numFmtId="167" fontId="5" fillId="19" borderId="1" xfId="0" applyNumberFormat="1" applyFont="1" applyFill="1" applyBorder="1"/>
    <xf numFmtId="0" fontId="5" fillId="20" borderId="10" xfId="0" applyFont="1" applyFill="1" applyBorder="1"/>
    <xf numFmtId="0" fontId="5" fillId="20" borderId="11" xfId="0" applyFont="1" applyFill="1" applyBorder="1"/>
    <xf numFmtId="165" fontId="5" fillId="20" borderId="11" xfId="0" applyNumberFormat="1" applyFont="1" applyFill="1" applyBorder="1"/>
    <xf numFmtId="172" fontId="1" fillId="3" borderId="13" xfId="2" applyNumberFormat="1" applyBorder="1"/>
    <xf numFmtId="0" fontId="1" fillId="3" borderId="14" xfId="2" applyNumberFormat="1" applyBorder="1"/>
    <xf numFmtId="165" fontId="1" fillId="3" borderId="14" xfId="2" applyNumberFormat="1" applyBorder="1"/>
    <xf numFmtId="172" fontId="2" fillId="2" borderId="13" xfId="1" applyNumberFormat="1" applyBorder="1"/>
    <xf numFmtId="0" fontId="2" fillId="2" borderId="14" xfId="1" applyNumberFormat="1" applyBorder="1"/>
    <xf numFmtId="165" fontId="2" fillId="2" borderId="14" xfId="1" applyNumberFormat="1" applyBorder="1"/>
    <xf numFmtId="172" fontId="1" fillId="3" borderId="5" xfId="2" applyNumberFormat="1" applyBorder="1"/>
    <xf numFmtId="0" fontId="1" fillId="3" borderId="1" xfId="2" applyNumberFormat="1" applyBorder="1"/>
    <xf numFmtId="165" fontId="1" fillId="3" borderId="1" xfId="2" applyNumberFormat="1" applyBorder="1"/>
    <xf numFmtId="165" fontId="5" fillId="2" borderId="14" xfId="1" applyNumberFormat="1" applyFont="1" applyBorder="1"/>
    <xf numFmtId="0" fontId="1" fillId="18" borderId="0" xfId="13"/>
    <xf numFmtId="10" fontId="6" fillId="0" borderId="1" xfId="0" applyNumberFormat="1" applyFont="1" applyBorder="1"/>
    <xf numFmtId="167" fontId="6" fillId="0" borderId="1" xfId="0" applyNumberFormat="1" applyFont="1" applyBorder="1"/>
    <xf numFmtId="1" fontId="2" fillId="7" borderId="0" xfId="0" applyNumberFormat="1" applyFont="1" applyFill="1" applyAlignment="1">
      <alignment horizontal="center"/>
    </xf>
    <xf numFmtId="2" fontId="2" fillId="7" borderId="0" xfId="0" applyNumberFormat="1" applyFont="1" applyFill="1"/>
    <xf numFmtId="0" fontId="2" fillId="7" borderId="0" xfId="0" applyFont="1" applyFill="1"/>
    <xf numFmtId="166" fontId="2" fillId="7" borderId="0" xfId="0" applyNumberFormat="1" applyFont="1" applyFill="1" applyAlignment="1">
      <alignment horizontal="right"/>
    </xf>
    <xf numFmtId="0" fontId="2" fillId="7" borderId="0" xfId="0" applyFont="1" applyFill="1" applyAlignment="1">
      <alignment horizontal="right"/>
    </xf>
    <xf numFmtId="0" fontId="2" fillId="13" borderId="0" xfId="0" applyFont="1" applyFill="1"/>
    <xf numFmtId="165" fontId="5" fillId="13" borderId="0" xfId="0" applyNumberFormat="1" applyFont="1" applyFill="1"/>
    <xf numFmtId="168" fontId="5" fillId="13" borderId="0" xfId="0" applyNumberFormat="1" applyFont="1" applyFill="1"/>
    <xf numFmtId="165" fontId="5" fillId="5" borderId="1" xfId="4" applyNumberFormat="1" applyFont="1" applyBorder="1" applyAlignment="1">
      <alignment wrapText="1"/>
    </xf>
    <xf numFmtId="0" fontId="3" fillId="7" borderId="2" xfId="3" applyFont="1" applyFill="1" applyBorder="1" applyAlignment="1">
      <alignment horizontal="center"/>
    </xf>
    <xf numFmtId="0" fontId="3" fillId="7" borderId="8" xfId="3" applyFont="1" applyFill="1" applyBorder="1" applyAlignment="1">
      <alignment horizontal="center"/>
    </xf>
    <xf numFmtId="0" fontId="7" fillId="10" borderId="6" xfId="8" applyFont="1" applyBorder="1" applyAlignment="1">
      <alignment horizontal="center"/>
    </xf>
    <xf numFmtId="0" fontId="3" fillId="5" borderId="6" xfId="4" applyFont="1" applyBorder="1" applyAlignment="1">
      <alignment horizontal="center"/>
    </xf>
    <xf numFmtId="49" fontId="9" fillId="4" borderId="0" xfId="3" applyNumberFormat="1" applyFont="1" applyAlignment="1">
      <alignment horizontal="center" vertical="center"/>
    </xf>
    <xf numFmtId="0" fontId="5" fillId="17" borderId="15" xfId="12" applyFont="1" applyBorder="1" applyAlignment="1">
      <alignment horizontal="center"/>
    </xf>
    <xf numFmtId="0" fontId="5" fillId="17" borderId="16" xfId="12" applyFont="1" applyBorder="1" applyAlignment="1">
      <alignment horizontal="center"/>
    </xf>
    <xf numFmtId="172" fontId="5" fillId="17" borderId="4" xfId="12" applyNumberFormat="1" applyFont="1" applyBorder="1" applyAlignment="1">
      <alignment horizontal="center"/>
    </xf>
    <xf numFmtId="172" fontId="5" fillId="17" borderId="5" xfId="12" applyNumberFormat="1" applyFont="1" applyBorder="1" applyAlignment="1">
      <alignment horizontal="center"/>
    </xf>
    <xf numFmtId="0" fontId="5" fillId="5" borderId="3" xfId="4" applyFont="1" applyBorder="1" applyAlignment="1">
      <alignment horizontal="center"/>
    </xf>
    <xf numFmtId="0" fontId="5" fillId="5" borderId="5" xfId="4" applyFont="1" applyBorder="1" applyAlignment="1">
      <alignment horizontal="center"/>
    </xf>
  </cellXfs>
  <cellStyles count="14">
    <cellStyle name="%20 - Vurgu1" xfId="5" builtinId="30"/>
    <cellStyle name="%20 - Vurgu2" xfId="2" builtinId="34"/>
    <cellStyle name="%20 - Vurgu4" xfId="9" builtinId="42"/>
    <cellStyle name="%20 - Vurgu6" xfId="13" builtinId="50"/>
    <cellStyle name="%40 - Vurgu6" xfId="7" builtinId="51"/>
    <cellStyle name="%60 - Vurgu1" xfId="11" builtinId="32"/>
    <cellStyle name="%60 - Vurgu2" xfId="12" builtinId="36"/>
    <cellStyle name="%60 - Vurgu5" xfId="10" builtinId="48"/>
    <cellStyle name="Normal" xfId="0" builtinId="0"/>
    <cellStyle name="Vurgu1" xfId="4" builtinId="29"/>
    <cellStyle name="Vurgu2" xfId="1" builtinId="33"/>
    <cellStyle name="Vurgu4" xfId="8" builtinId="41"/>
    <cellStyle name="Vurgu5" xfId="6" builtinId="45"/>
    <cellStyle name="Vurgu6" xfId="3" builtinId="49"/>
  </cellStyles>
  <dxfs count="12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numFmt numFmtId="168" formatCode="#,##0.00\ &quot;₺&quot;"/>
      <fill>
        <patternFill patternType="solid">
          <fgColor indexed="64"/>
          <bgColor theme="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numFmt numFmtId="165" formatCode="#,##0.00\ [$₺-41F]"/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numFmt numFmtId="166" formatCode="#,##0\ [$₺-41F]"/>
      <fill>
        <patternFill patternType="solid">
          <fgColor indexed="64"/>
          <bgColor theme="4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numFmt numFmtId="2" formatCode="0.00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numFmt numFmtId="2" formatCode="0.00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numFmt numFmtId="1" formatCode="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numFmt numFmtId="1" formatCode="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numFmt numFmtId="1" formatCode="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numFmt numFmtId="164" formatCode="#,##0\ &quot;₺&quot;"/>
    </dxf>
    <dxf>
      <numFmt numFmtId="164" formatCode="#,##0\ &quot;₺&quot;"/>
    </dxf>
    <dxf>
      <numFmt numFmtId="164" formatCode="#,##0\ &quot;₺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numFmt numFmtId="165" formatCode="#,##0.00\ [$₺-41F]"/>
      <fill>
        <patternFill patternType="solid">
          <fgColor indexed="6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64" formatCode="#,##0\ &quot;₺&quot;"/>
    </dxf>
    <dxf>
      <numFmt numFmtId="164" formatCode="#,##0\ &quot;₺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numFmt numFmtId="167" formatCode="_-* #,##0.00\ [$₺-41F]_-;\-* #,##0.00\ [$₺-41F]_-;_-* &quot;-&quot;??\ [$₺-41F]_-;_-@_-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numFmt numFmtId="14" formatCode="0.00%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67" formatCode="_-* #,##0.00\ [$₺-41F]_-;\-* #,##0.00\ [$₺-41F]_-;_-* &quot;-&quot;??\ [$₺-41F]_-;_-@_-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4" formatCode="0.00%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64" formatCode="#,##0\ &quot;₺&quot;"/>
    </dxf>
    <dxf>
      <numFmt numFmtId="164" formatCode="#,##0\ &quot;₺&quot;"/>
    </dxf>
    <dxf>
      <numFmt numFmtId="14" formatCode="0.00%"/>
    </dxf>
    <dxf>
      <numFmt numFmtId="14" formatCode="0.00%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4" formatCode="0.00%"/>
    </dxf>
    <dxf>
      <numFmt numFmtId="0" formatCode="General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alignment horizontal="center" vertical="bottom" textRotation="0" wrapText="0" indent="0" justifyLastLine="0" shrinkToFit="0" readingOrder="0"/>
    </dxf>
    <dxf>
      <numFmt numFmtId="172" formatCode="dd/mm/yyyy"/>
    </dxf>
    <dxf>
      <numFmt numFmtId="14" formatCode="0.00%"/>
    </dxf>
    <dxf>
      <numFmt numFmtId="14" formatCode="0.00%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font>
        <b/>
      </font>
      <numFmt numFmtId="165" formatCode="#,##0.00\ [$₺-41F]"/>
    </dxf>
    <dxf>
      <numFmt numFmtId="1" formatCode="0"/>
    </dxf>
    <dxf>
      <numFmt numFmtId="1" formatCode="0"/>
    </dxf>
    <dxf>
      <numFmt numFmtId="1" formatCode="0"/>
    </dxf>
    <dxf>
      <numFmt numFmtId="169" formatCode="#,##0.000\ [$₺-41F]"/>
    </dxf>
    <dxf>
      <numFmt numFmtId="169" formatCode="#,##0.000\ [$₺-41F]"/>
    </dxf>
    <dxf>
      <numFmt numFmtId="165" formatCode="#,##0.00\ [$₺-41F]"/>
    </dxf>
    <dxf>
      <alignment horizontal="center" vertical="bottom" textRotation="0" wrapText="0" indent="0" justifyLastLine="0" shrinkToFit="0" readingOrder="0"/>
    </dxf>
    <dxf>
      <font>
        <color theme="0" tint="-0.499984740745262"/>
      </font>
      <fill>
        <patternFill>
          <bgColor theme="0" tint="-4.9989318521683403E-2"/>
        </patternFill>
      </fill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0" formatCode="General"/>
    </dxf>
    <dxf>
      <numFmt numFmtId="0" formatCode="General"/>
    </dxf>
    <dxf>
      <numFmt numFmtId="172" formatCode="dd/mm/yyyy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0" formatCode="General"/>
    </dxf>
    <dxf>
      <numFmt numFmtId="0" formatCode="General"/>
    </dxf>
    <dxf>
      <numFmt numFmtId="172" formatCode="dd/mm/yyyy"/>
    </dxf>
    <dxf>
      <numFmt numFmtId="168" formatCode="#,##0.00\ &quot;₺&quot;"/>
    </dxf>
    <dxf>
      <numFmt numFmtId="165" formatCode="#,##0.00\ [$₺-41F]"/>
    </dxf>
    <dxf>
      <font>
        <b/>
      </font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  <numFmt numFmtId="1" formatCode="0"/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  <numFmt numFmtId="166" formatCode="#,##0\ [$₺-41F]"/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numFmt numFmtId="2" formatCode="0.00"/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  <numFmt numFmtId="2" formatCode="0.0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color theme="0"/>
      </font>
      <numFmt numFmtId="0" formatCode="General"/>
    </dxf>
    <dxf>
      <numFmt numFmtId="0" formatCode="General"/>
    </dxf>
    <dxf>
      <numFmt numFmtId="13" formatCode="0%"/>
    </dxf>
    <dxf>
      <numFmt numFmtId="164" formatCode="#,##0\ &quot;₺&quot;"/>
    </dxf>
    <dxf>
      <numFmt numFmtId="164" formatCode="#,##0\ &quot;₺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#,##0.00\ [$₺-41F]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4" formatCode="0.00%"/>
    </dxf>
    <dxf>
      <numFmt numFmtId="164" formatCode="#,##0\ &quot;₺&quot;"/>
    </dxf>
    <dxf>
      <numFmt numFmtId="167" formatCode="_-* #,##0.00\ [$₺-41F]_-;\-* #,##0.00\ [$₺-41F]_-;_-* &quot;-&quot;??\ [$₺-41F]_-;_-@_-"/>
    </dxf>
    <dxf>
      <numFmt numFmtId="14" formatCode="0.00%"/>
    </dxf>
    <dxf>
      <numFmt numFmtId="165" formatCode="#,##0.00\ [$₺-41F]"/>
    </dxf>
    <dxf>
      <numFmt numFmtId="167" formatCode="_-* #,##0.00\ [$₺-41F]_-;\-* #,##0.00\ [$₺-41F]_-;_-* &quot;-&quot;??\ [$₺-41F]_-;_-@_-"/>
    </dxf>
    <dxf>
      <numFmt numFmtId="14" formatCode="0.00%"/>
    </dxf>
    <dxf>
      <numFmt numFmtId="166" formatCode="#,##0\ [$₺-41F]"/>
    </dxf>
    <dxf>
      <numFmt numFmtId="166" formatCode="#,##0\ [$₺-41F]"/>
    </dxf>
    <dxf>
      <numFmt numFmtId="165" formatCode="#,##0.00\ [$₺-41F]"/>
    </dxf>
    <dxf>
      <numFmt numFmtId="14" formatCode="0.0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C00000"/>
        </patternFill>
      </fill>
    </dxf>
    <dxf>
      <font>
        <b val="0"/>
        <i val="0"/>
        <color theme="0" tint="-0.49998474074526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0" tint="-0.499984740745262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  <dxf>
      <font>
        <color theme="0" tint="-0.34998626667073579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B2D6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47625</xdr:rowOff>
        </xdr:from>
        <xdr:to>
          <xdr:col>15</xdr:col>
          <xdr:colOff>0</xdr:colOff>
          <xdr:row>20</xdr:row>
          <xdr:rowOff>123825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Güncelle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19050</xdr:rowOff>
        </xdr:from>
        <xdr:to>
          <xdr:col>4</xdr:col>
          <xdr:colOff>9525</xdr:colOff>
          <xdr:row>26</xdr:row>
          <xdr:rowOff>76200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Alım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180975</xdr:rowOff>
        </xdr:from>
        <xdr:to>
          <xdr:col>3</xdr:col>
          <xdr:colOff>209550</xdr:colOff>
          <xdr:row>23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21</xdr:row>
          <xdr:rowOff>180975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25</xdr:row>
          <xdr:rowOff>19050</xdr:rowOff>
        </xdr:from>
        <xdr:to>
          <xdr:col>5</xdr:col>
          <xdr:colOff>0</xdr:colOff>
          <xdr:row>26</xdr:row>
          <xdr:rowOff>76200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28</xdr:row>
          <xdr:rowOff>180975</xdr:rowOff>
        </xdr:from>
        <xdr:to>
          <xdr:col>5</xdr:col>
          <xdr:colOff>0</xdr:colOff>
          <xdr:row>30</xdr:row>
          <xdr:rowOff>47625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Sıralamaya göre doldur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26</xdr:row>
          <xdr:rowOff>104775</xdr:rowOff>
        </xdr:from>
        <xdr:to>
          <xdr:col>4</xdr:col>
          <xdr:colOff>9525</xdr:colOff>
          <xdr:row>27</xdr:row>
          <xdr:rowOff>161925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Satım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26</xdr:row>
          <xdr:rowOff>104775</xdr:rowOff>
        </xdr:from>
        <xdr:to>
          <xdr:col>5</xdr:col>
          <xdr:colOff>0</xdr:colOff>
          <xdr:row>27</xdr:row>
          <xdr:rowOff>161925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47625</xdr:rowOff>
        </xdr:from>
        <xdr:to>
          <xdr:col>15</xdr:col>
          <xdr:colOff>0</xdr:colOff>
          <xdr:row>23</xdr:row>
          <xdr:rowOff>133350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5CC5D5E7-41A1-448D-BF8E-CA311E9544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Güncelle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arliklar" displayName="Varliklar" ref="A2:AD19" totalsRowCount="1" headerRowDxfId="104">
  <tableColumns count="30">
    <tableColumn id="1" xr3:uid="{00000000-0010-0000-0000-000001000000}" name="Hisse"/>
    <tableColumn id="17" xr3:uid="{00000000-0010-0000-0000-000011000000}" name="Hedef" totalsRowFunction="sum" dataDxfId="103"/>
    <tableColumn id="18" xr3:uid="{00000000-0010-0000-0000-000012000000}" name="Mevcut" totalsRowFunction="sum" dataDxfId="102">
      <calculatedColumnFormula>SUMIFS(TradeHist[Adet],TradeHist[Hisse],Varliklar[[#This Row],[Hisse]],TradeHist[Tarih],"&lt;=" &amp;$C$23) - SUMIFS(TradeHistSell[Adet],TradeHistSell[Hisse],Varliklar[[#This Row],[Hisse]],TradeHistSell[Tarih],"&lt;=" &amp;$C$23)</calculatedColumnFormula>
    </tableColumn>
    <tableColumn id="19" xr3:uid="{00000000-0010-0000-0000-000013000000}" name="Hedef Yüzdesi" totalsRowFunction="custom" dataDxfId="101" totalsRowDxfId="24">
      <calculatedColumnFormula>MIN(1,IFERROR(Varliklar[[#This Row],[Mevcut]]/Varliklar[[#This Row],[Hedef]],"0"))</calculatedColumnFormula>
      <totalsRowFormula>Varliklar[[#Totals],[Değer]]/Varliklar[[#Totals],[Hedef Tutar]]</totalsRowFormula>
    </tableColumn>
    <tableColumn id="58" xr3:uid="{00000000-0010-0000-0000-00003A000000}" name="Maliyet" dataDxfId="100" totalsRowDxfId="23">
      <calculatedColumnFormula>IFERROR(ROUND(Varliklar[[#This Row],[Net Yatırılan]]/Varliklar[[#This Row],[Mevcut]],2),0)</calculatedColumnFormula>
    </tableColumn>
    <tableColumn id="20" xr3:uid="{00000000-0010-0000-0000-000014000000}" name="Yatırılan Para" totalsRowFunction="sum" dataDxfId="99" totalsRowDxfId="22">
      <calculatedColumnFormula>SUMIFS(TradeHist[Toplam Tutar],TradeHist[Hisse],Varliklar[[#This Row],[Hisse]],TradeHist[Tarih],"&lt;=" &amp;$C$23)-SUMIFS(TradeHistSell[Toplam Tutar],TradeHistSell[Hisse],Varliklar[[#This Row],[Hisse]],TradeHistSell[Tarih],"&lt;=" &amp;$C$23)</calculatedColumnFormula>
    </tableColumn>
    <tableColumn id="39" xr3:uid="{00000000-0010-0000-0000-000027000000}" name="Net Yatırılan" totalsRowFunction="sum" dataDxfId="98" totalsRowDxfId="21">
      <calculatedColumnFormula>Varliklar[[#This Row],[Yatırılan Para]]-Varliklar[[#This Row],[Alınan Temettü]]</calculatedColumnFormula>
    </tableColumn>
    <tableColumn id="31" xr3:uid="{00000000-0010-0000-0000-00001F000000}" name="Kar%" totalsRowFunction="custom" dataDxfId="97" totalsRowDxfId="20">
      <calculatedColumnFormula>IFERROR((Varliklar[[#This Row],[Değer]]-Varliklar[[#This Row],[Net Yatırılan]])/Varliklar[[#This Row],[Net Yatırılan]],0)</calculatedColumnFormula>
      <totalsRowFormula>(Varliklar[[#Totals],[Değer]]/Varliklar[[#Totals],[Net Yatırılan]])-1</totalsRowFormula>
    </tableColumn>
    <tableColumn id="30" xr3:uid="{00000000-0010-0000-0000-00001E000000}" name="Kar" totalsRowFunction="custom" dataDxfId="96" totalsRowDxfId="19">
      <calculatedColumnFormula>Varliklar[[#This Row],[Değer]]-Varliklar[[#This Row],[Net Yatırılan]]</calculatedColumnFormula>
      <totalsRowFormula>Varliklar[[#Totals],[Değer]]-Varliklar[[#Totals],[Net Yatırılan]]</totalsRowFormula>
    </tableColumn>
    <tableColumn id="27" xr3:uid="{00000000-0010-0000-0000-00001B000000}" name="Reel Maliyet" dataDxfId="95">
      <calculatedColumnFormula>IFERROR((SUMIFS(TradeHist[Reel Maliyet],TradeHist[Hisse],Varliklar[[#This Row],[Hisse]]) - SUMIFS(TradeHistSell[Reel Maliyet],TradeHistSell[Hisse],Varliklar[[#This Row],[Hisse]]))/Varliklar[[#This Row],[Mevcut]],0)</calculatedColumnFormula>
    </tableColumn>
    <tableColumn id="37" xr3:uid="{00000000-0010-0000-0000-000025000000}" name="Reel Kar%" totalsRowFunction="custom" dataDxfId="94" totalsRowDxfId="18">
      <calculatedColumnFormula>IFERROR((Varliklar[[#This Row],[Güncel F.]]-Varliklar[[#This Row],[Reel Maliyet]])/Varliklar[[#This Row],[Reel Maliyet]], 0)</calculatedColumnFormula>
      <totalsRowFormula>(Varliklar[[#Totals],[Değer]]/(SUM(TradeHist[Reel Maliyet])-Varliklar[[#Totals],[Alınan Temettü]]))-1</totalsRowFormula>
    </tableColumn>
    <tableColumn id="33" xr3:uid="{00000000-0010-0000-0000-000021000000}" name="Reel Kar" totalsRowFunction="custom" dataDxfId="93" totalsRowDxfId="17">
      <calculatedColumnFormula>Varliklar[[#This Row],[Değer]]-SUMIFS(TradeHist[Reel Maliyet],TradeHist[Hisse],Varliklar[[#This Row],[Hisse]])+SUMIFS(TradeHistSell[Reel Maliyet],TradeHistSell[Hisse],Varliklar[[#This Row],[Hisse]])</calculatedColumnFormula>
      <totalsRowFormula>Varliklar[[#Totals],[Değer]]-SUM(TradeHist[Reel Maliyet])+Varliklar[[#Totals],[Alınan Temettü]]</totalsRowFormula>
    </tableColumn>
    <tableColumn id="21" xr3:uid="{00000000-0010-0000-0000-000015000000}" name="Değer" totalsRowFunction="sum" dataDxfId="92" totalsRowDxfId="16">
      <calculatedColumnFormula>ROUND(Varliklar[[#This Row],[Güncel F.]]*Varliklar[[#This Row],[Mevcut]],0)</calculatedColumnFormula>
    </tableColumn>
    <tableColumn id="23" xr3:uid="{00000000-0010-0000-0000-000017000000}" name="Oran" dataDxfId="91" totalsRowDxfId="15">
      <calculatedColumnFormula>Varliklar[[#This Row],[Değer]]/Varliklar[[#Totals],[Değer]]</calculatedColumnFormula>
    </tableColumn>
    <tableColumn id="14" xr3:uid="{00000000-0010-0000-0000-00000E000000}" name="Güncel F." totalsRowFunction="average" dataDxfId="90" totalsRowDxfId="14"/>
    <tableColumn id="28" xr3:uid="{00000000-0010-0000-0000-00001C000000}" name="Hedef Tutar" totalsRowFunction="sum" dataDxfId="89" totalsRowDxfId="13">
      <calculatedColumnFormula>IFERROR(Varliklar[[#This Row],[Güncel F.]]*Varliklar[[#This Row],[Hedef]],"")</calculatedColumnFormula>
    </tableColumn>
    <tableColumn id="29" xr3:uid="{00000000-0010-0000-0000-00001D000000}" name="Eksik Tutar" totalsRowFunction="custom" dataDxfId="88" totalsRowDxfId="12">
      <calculatedColumnFormula>IFERROR(Varliklar[[#This Row],[Hedef Tutar]]-Varliklar[[#This Row],[Değer]],"")</calculatedColumnFormula>
      <totalsRowFormula>ROUND(SUBTOTAL(109,Varliklar[Eksik Tutar]),0)</totalsRowFormula>
    </tableColumn>
    <tableColumn id="16" xr3:uid="{00000000-0010-0000-0000-000010000000}" name="Yatırım O." dataDxfId="87" totalsRowDxfId="11">
      <calculatedColumnFormula>Varliklar[[#This Row],[Hedef Tutar]]/Varliklar[[#Totals],[Hedef Tutar]]</calculatedColumnFormula>
    </tableColumn>
    <tableColumn id="11" xr3:uid="{00000000-0010-0000-0000-00000B000000}" name="T. Tar." dataDxfId="86"/>
    <tableColumn id="49" xr3:uid="{00000000-0010-0000-0000-000031000000}" name="Hisse2" totalsRowLabel="1" dataDxfId="85" totalsRowDxfId="10">
      <calculatedColumnFormula>Varliklar[[#This Row],[Hisse]]</calculatedColumnFormula>
    </tableColumn>
    <tableColumn id="55" xr3:uid="{00000000-0010-0000-0000-000037000000}" name="Açık" dataDxfId="84" totalsRowDxfId="9"/>
    <tableColumn id="13" xr3:uid="{00000000-0010-0000-0000-00000D000000}" name="Katsayı" dataDxfId="83" totalsRowDxfId="8"/>
    <tableColumn id="50" xr3:uid="{00000000-0010-0000-0000-000032000000}" name="Ö" dataDxfId="82" totalsRowDxfId="7">
      <calculatedColumnFormula>IF(OR(Varliklar[[#This Row],[Hedef Yüzdesi]] =1, Varliklar[[#This Row],[Hedef]] =0), "",Varliklar[[#This Row],[Hedef Yüzdesi]] * 5 + Varliklar[[#This Row],[Kar%]])</calculatedColumnFormula>
    </tableColumn>
    <tableColumn id="32" xr3:uid="{00000000-0010-0000-0000-000020000000}" name="Katsayılı Sır." dataDxfId="81" totalsRowDxfId="6">
      <calculatedColumnFormula>IFERROR(_xlfn.RANK.AVG(Varliklar[[#This Row],[Ö]],Varliklar[Ö],1) / Varliklar[[#This Row],[Katsayı]],"")</calculatedColumnFormula>
    </tableColumn>
    <tableColumn id="47" xr3:uid="{00000000-0010-0000-0000-00002F000000}" name="Sır." dataDxfId="80" totalsRowDxfId="5">
      <calculatedColumnFormula>IF(Varliklar[[#This Row],[Açık]]="E",IFERROR(_xlfn.RANK.EQ(Varliklar[[#This Row],[Katsayılı Sır.]],Varliklar[Katsayılı Sır.],1),""),"")</calculatedColumnFormula>
    </tableColumn>
    <tableColumn id="51" xr3:uid="{00000000-0010-0000-0000-000033000000}" name="Tutar" totalsRowFunction="custom" dataDxfId="79" totalsRowDxfId="4">
      <calculatedColumnFormula>IF(Varliklar[[#This Row],[Sır.]]&gt;VALUE($T$19),"",((($T$19+1)-Varliklar[[#This Row],[Sır.]])/($T$19*($T$19+1)/2)*VALUE($Z$19)))</calculatedColumnFormula>
      <totalsRowFormula>IF(T20="",#REF!,T20)</totalsRowFormula>
    </tableColumn>
    <tableColumn id="48" xr3:uid="{00000000-0010-0000-0000-000030000000}" name="Adet" dataDxfId="78" totalsRowDxfId="3">
      <calculatedColumnFormula>IFERROR(MIN(Varliklar[[#This Row],[Tutar]]/Varliklar[[#This Row],[Güncel F.]],Varliklar[[#This Row],[Hedef]]-Varliklar[[#This Row],[Mevcut]]),"")</calculatedColumnFormula>
    </tableColumn>
    <tableColumn id="25" xr3:uid="{00000000-0010-0000-0000-000019000000}" name="Hisse5" dataDxfId="77" totalsRowDxfId="2">
      <calculatedColumnFormula>Varliklar[[#This Row],[Hisse]]</calculatedColumnFormula>
    </tableColumn>
    <tableColumn id="41" xr3:uid="{00000000-0010-0000-0000-000029000000}" name="Gelecek Temettü" totalsRowFunction="sum" dataDxfId="76" totalsRowDxfId="1">
      <calculatedColumnFormula>SUMIFS(Profits[Toplam],Profits[Hisse],Varliklar[[#This Row],[Hisse]],Profits[Tarih],"&gt;" &amp; TODAY())+SUMIFS(Profits[Toplam],Profits[Hisse],Varliklar[[#This Row],[Hisse]],Profits[Tarih],"=" &amp; "")</calculatedColumnFormula>
    </tableColumn>
    <tableColumn id="46" xr3:uid="{00000000-0010-0000-0000-00002E000000}" name="Alınan Temettü" totalsRowFunction="sum" dataDxfId="75" totalsRowDxfId="0">
      <calculatedColumnFormula>SUMIFS(Profits[Toplam],Profits[Hisse],Varliklar[[#This Row],[Hisse]],Profits[Tarih],"&lt;=" &amp; TODAY())</calculatedColumnFormula>
    </tableColumn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radeHist" displayName="TradeHist" ref="A1:I2" totalsRowShown="0">
  <autoFilter ref="A1:I2" xr:uid="{00000000-0009-0000-0100-000005000000}"/>
  <sortState xmlns:xlrd2="http://schemas.microsoft.com/office/spreadsheetml/2017/richdata2" ref="A2:F169">
    <sortCondition ref="A2:A169"/>
  </sortState>
  <tableColumns count="9">
    <tableColumn id="1" xr3:uid="{00000000-0010-0000-0100-000001000000}" name="Tarih" dataDxfId="74"/>
    <tableColumn id="2" xr3:uid="{00000000-0010-0000-0100-000002000000}" name="Hisse" dataDxfId="73"/>
    <tableColumn id="10" xr3:uid="{00000000-0010-0000-0100-00000A000000}" name="Adet" dataDxfId="72"/>
    <tableColumn id="3" xr3:uid="{00000000-0010-0000-0100-000003000000}" name="Alım Fiyatı" dataDxfId="71"/>
    <tableColumn id="5" xr3:uid="{00000000-0010-0000-0100-000005000000}" name="Komisyon Tutarı" dataDxfId="70"/>
    <tableColumn id="6" xr3:uid="{00000000-0010-0000-0100-000006000000}" name="Toplam Tutar" dataDxfId="69">
      <calculatedColumnFormula>TradeHist[[#This Row],[Adet]]*TradeHist[[#This Row],[Alım Fiyatı]]+TradeHist[[#This Row],[Komisyon Tutarı]]</calculatedColumnFormula>
    </tableColumn>
    <tableColumn id="4" xr3:uid="{00000000-0010-0000-0100-000004000000}" name="Reel Maliyet" dataDxfId="68">
      <calculatedColumnFormula>TradeHist[[#This Row],[Toplam Tutar]]*POWER(Enflasyon,(Tarih_Degiskeni-TradeHist[[#This Row],[Tarih]])/365)</calculatedColumnFormula>
    </tableColumn>
    <tableColumn id="7" xr3:uid="{00000000-0010-0000-0100-000007000000}" name="Firma" dataDxfId="67"/>
    <tableColumn id="8" xr3:uid="{00000000-0010-0000-0100-000008000000}" name="Silinebilir" dataDxfId="66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radeHistSell" displayName="TradeHistSell" ref="A1:I2" totalsRowShown="0">
  <autoFilter ref="A1:I2" xr:uid="{00000000-0009-0000-0100-000007000000}"/>
  <sortState xmlns:xlrd2="http://schemas.microsoft.com/office/spreadsheetml/2017/richdata2" ref="A2:F169">
    <sortCondition ref="A2:A169"/>
  </sortState>
  <tableColumns count="9">
    <tableColumn id="1" xr3:uid="{00000000-0010-0000-0200-000001000000}" name="Tarih" dataDxfId="65"/>
    <tableColumn id="2" xr3:uid="{00000000-0010-0000-0200-000002000000}" name="Hisse" dataDxfId="64"/>
    <tableColumn id="10" xr3:uid="{00000000-0010-0000-0200-00000A000000}" name="Adet" dataDxfId="63"/>
    <tableColumn id="3" xr3:uid="{00000000-0010-0000-0200-000003000000}" name="Satım Fiyatı" dataDxfId="62"/>
    <tableColumn id="5" xr3:uid="{00000000-0010-0000-0200-000005000000}" name="Komisyon Tutarı" dataDxfId="61"/>
    <tableColumn id="6" xr3:uid="{00000000-0010-0000-0200-000006000000}" name="Toplam Tutar" dataDxfId="60">
      <calculatedColumnFormula>TradeHistSell[[#This Row],[Adet]]*TradeHistSell[[#This Row],[Satım Fiyatı]]-TradeHistSell[[#This Row],[Komisyon Tutarı]]</calculatedColumnFormula>
    </tableColumn>
    <tableColumn id="4" xr3:uid="{00000000-0010-0000-0200-000004000000}" name="Reel Maliyet" dataDxfId="59">
      <calculatedColumnFormula>TradeHistSell[[#This Row],[Toplam Tutar]]*POWER(Enflasyon,(Tarih_Degiskeni-TradeHistSell[[#This Row],[Tarih]])/365)</calculatedColumnFormula>
    </tableColumn>
    <tableColumn id="7" xr3:uid="{00000000-0010-0000-0200-000007000000}" name="Firma" dataDxfId="58"/>
    <tableColumn id="8" xr3:uid="{00000000-0010-0000-0200-000008000000}" name="Silinebilir" dataDxfId="57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ofits" displayName="Profits" ref="A1:L12" totalsRowCount="1" headerRowDxfId="55">
  <autoFilter ref="A1:L11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0000000-0010-0000-0300-000001000000}" name="Tarih" totalsRowLabel="Toplam"/>
    <tableColumn id="2" xr3:uid="{00000000-0010-0000-0300-000002000000}" name="Hisse"/>
    <tableColumn id="3" xr3:uid="{00000000-0010-0000-0300-000003000000}" name="Brüt" dataDxfId="54"/>
    <tableColumn id="4" xr3:uid="{00000000-0010-0000-0300-000004000000}" name="Net" dataDxfId="53">
      <calculatedColumnFormula>Temettü_Net*Profits[[#This Row],[Brüt]]</calculatedColumnFormula>
    </tableColumn>
    <tableColumn id="5" xr3:uid="{00000000-0010-0000-0300-000005000000}" name="Özel Net" dataDxfId="52"/>
    <tableColumn id="8" xr3:uid="{00000000-0010-0000-0300-000008000000}" name="Lot" dataDxfId="51">
      <calculatedColumnFormula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calculatedColumnFormula>
    </tableColumn>
    <tableColumn id="13" xr3:uid="{00000000-0010-0000-0300-00000D000000}" name="Kontrol" dataDxfId="50"/>
    <tableColumn id="10" xr3:uid="{00000000-0010-0000-0300-00000A000000}" name="Düzeltme" dataDxfId="49">
      <calculatedColumnFormula>Profits[[#This Row],[Lot]]*Profits[[#This Row],[Net]]*Portföy!#REF!</calculatedColumnFormula>
    </tableColumn>
    <tableColumn id="7" xr3:uid="{00000000-0010-0000-0300-000007000000}" name="Toplam" totalsRowFunction="sum" dataDxfId="48" totalsRowDxfId="47">
      <calculatedColumnFormula>ROUND(Profits[[#This Row],[Lot]]*IF(Profits[[#This Row],[Özel Net]] &lt;&gt; "",Profits[[#This Row],[Özel Net]],Profits[[#This Row],[Net]])*Temettü_Komisyonu,2)+Profits[[#This Row],[Düzeltme]]</calculatedColumnFormula>
    </tableColumn>
    <tableColumn id="11" xr3:uid="{00000000-0010-0000-0300-00000B000000}" name="Maliyet" totalsRowFunction="sum" dataDxfId="46" totalsRowDxfId="45">
      <calculatedColumnFormula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Row],[Tarih]]))-SUMIFS(Profits[Toplam],Profits[Hisse],Profits[[#This Row],[Hisse]],Profits[Tarih],"&lt;" &amp;IF(Profits[[#This Row],[Tarih]]="",TODAY(),Profits[[#This Row],[Tarih]]))</calculatedColumnFormula>
    </tableColumn>
    <tableColumn id="12" xr3:uid="{00000000-0010-0000-0300-00000C000000}" name="Maliyetten Verim" totalsRowFunction="custom" dataDxfId="44" totalsRowDxfId="43">
      <calculatedColumnFormula>IFERROR(Profits[[#This Row],[Toplam]]/Profits[[#This Row],[Maliyet]],"")</calculatedColumnFormula>
      <totalsRowFormula>Profits[[#Totals],[Toplam]]/Profits[[#Totals],[Maliyet]]</totalsRowFormula>
    </tableColumn>
    <tableColumn id="14" xr3:uid="{00000000-0010-0000-0300-00000E000000}" name="Yıl" dataDxfId="42">
      <calculatedColumnFormula>YEAR(Profits[[#This Row],[Tarih]])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emettüOzet" displayName="TemettüOzet" ref="A14:E21" totalsRowCount="1" headerRowDxfId="41">
  <autoFilter ref="A14:E20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400-000001000000}" name="Yıl" totalsRowLabel="Toplam"/>
    <tableColumn id="2" xr3:uid="{00000000-0010-0000-0400-000002000000}" name="Temettü" totalsRowFunction="sum" dataDxfId="40" totalsRowDxfId="39">
      <calculatedColumnFormula>SUMIF(Profits[Yıl],TemettüOzet[[#This Row],[Yıl]],Profits[Toplam])</calculatedColumnFormula>
    </tableColumn>
    <tableColumn id="3" xr3:uid="{00000000-0010-0000-0400-000003000000}" name="Maliyet" totalsRowFunction="sum" dataDxfId="38" totalsRowDxfId="37">
      <calculatedColumnFormula>SUMIF(Profits[Yıl],TemettüOzet[[#This Row],[Yıl]],Profits[Maliyet])</calculatedColumnFormula>
    </tableColumn>
    <tableColumn id="4" xr3:uid="{00000000-0010-0000-0400-000004000000}" name="Verim" totalsRowFunction="custom" dataDxfId="36" totalsRowDxfId="35">
      <calculatedColumnFormula>IFERROR(TemettüOzet[[#This Row],[Temettü]]/TemettüOzet[[#This Row],[Maliyet]],0)</calculatedColumnFormula>
      <totalsRowFormula>TemettüOzet[[#Totals],[Temettü]]/TemettüOzet[[#Totals],[Maliyet]]</totalsRowFormula>
    </tableColumn>
    <tableColumn id="5" xr3:uid="{00000000-0010-0000-0400-000005000000}" name="Aylık" dataDxfId="34">
      <calculatedColumnFormula>TemettüOzet[[#This Row],[Temettü]]/12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autoPageBreaks="0"/>
  </sheetPr>
  <dimension ref="A1:AD66"/>
  <sheetViews>
    <sheetView tabSelected="1" zoomScale="80" zoomScaleNormal="80" workbookViewId="0">
      <pane xSplit="1" topLeftCell="B1" activePane="topRight" state="frozen"/>
      <selection pane="topRight" activeCell="P24" sqref="P24"/>
    </sheetView>
  </sheetViews>
  <sheetFormatPr defaultColWidth="9.28515625" defaultRowHeight="15" x14ac:dyDescent="0.25"/>
  <cols>
    <col min="1" max="1" width="7.85546875" bestFit="1" customWidth="1"/>
    <col min="2" max="2" width="7.140625" bestFit="1" customWidth="1"/>
    <col min="3" max="3" width="12.85546875" bestFit="1" customWidth="1"/>
    <col min="4" max="4" width="13.85546875" customWidth="1"/>
    <col min="5" max="5" width="8.7109375" bestFit="1" customWidth="1"/>
    <col min="6" max="6" width="13" bestFit="1" customWidth="1"/>
    <col min="7" max="7" width="12.28515625" bestFit="1" customWidth="1"/>
    <col min="8" max="8" width="9.85546875" bestFit="1" customWidth="1"/>
    <col min="9" max="9" width="13.85546875" bestFit="1" customWidth="1"/>
    <col min="10" max="10" width="12.42578125" bestFit="1" customWidth="1"/>
    <col min="11" max="11" width="10.28515625" bestFit="1" customWidth="1"/>
    <col min="12" max="12" width="12.85546875" bestFit="1" customWidth="1"/>
    <col min="13" max="13" width="9.85546875" bestFit="1" customWidth="1"/>
    <col min="14" max="14" width="8.7109375" bestFit="1" customWidth="1"/>
    <col min="15" max="15" width="9.5703125" bestFit="1" customWidth="1"/>
    <col min="16" max="16" width="11.7109375" bestFit="1" customWidth="1"/>
    <col min="17" max="17" width="11" bestFit="1" customWidth="1"/>
    <col min="18" max="18" width="10.140625" bestFit="1" customWidth="1"/>
    <col min="19" max="19" width="11.7109375" bestFit="1" customWidth="1"/>
    <col min="20" max="20" width="10.85546875" bestFit="1" customWidth="1"/>
    <col min="21" max="21" width="10" style="37" bestFit="1" customWidth="1"/>
    <col min="22" max="22" width="7.85546875" bestFit="1" customWidth="1"/>
    <col min="24" max="24" width="12.28515625" bestFit="1" customWidth="1"/>
    <col min="25" max="25" width="4.140625" bestFit="1" customWidth="1"/>
    <col min="26" max="26" width="8.7109375" bestFit="1" customWidth="1"/>
    <col min="27" max="27" width="5.28515625" bestFit="1" customWidth="1"/>
    <col min="28" max="28" width="7.85546875" bestFit="1" customWidth="1"/>
    <col min="29" max="29" width="16.5703125" bestFit="1" customWidth="1"/>
    <col min="30" max="30" width="15" bestFit="1" customWidth="1"/>
  </cols>
  <sheetData>
    <row r="1" spans="1:30" ht="23.25" x14ac:dyDescent="0.35">
      <c r="A1" s="98" t="s">
        <v>35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101" t="s">
        <v>19</v>
      </c>
      <c r="U1" s="101"/>
      <c r="V1" s="101"/>
      <c r="W1" s="101"/>
      <c r="X1" s="101"/>
      <c r="Y1" s="101"/>
      <c r="Z1" s="101"/>
      <c r="AA1" s="101"/>
      <c r="AB1" s="100" t="s">
        <v>38</v>
      </c>
      <c r="AC1" s="100"/>
      <c r="AD1" s="100"/>
    </row>
    <row r="2" spans="1:30" s="19" customFormat="1" x14ac:dyDescent="0.25">
      <c r="A2" s="19" t="s">
        <v>25</v>
      </c>
      <c r="B2" s="19" t="s">
        <v>22</v>
      </c>
      <c r="C2" s="19" t="s">
        <v>23</v>
      </c>
      <c r="D2" s="19" t="s">
        <v>20</v>
      </c>
      <c r="E2" s="19" t="s">
        <v>15</v>
      </c>
      <c r="F2" s="19" t="s">
        <v>12</v>
      </c>
      <c r="G2" s="19" t="s">
        <v>50</v>
      </c>
      <c r="H2" s="19" t="s">
        <v>31</v>
      </c>
      <c r="I2" s="19" t="s">
        <v>14</v>
      </c>
      <c r="J2" s="19" t="s">
        <v>51</v>
      </c>
      <c r="K2" s="19" t="s">
        <v>73</v>
      </c>
      <c r="L2" s="19" t="s">
        <v>74</v>
      </c>
      <c r="M2" s="20" t="s">
        <v>13</v>
      </c>
      <c r="N2" s="20" t="s">
        <v>21</v>
      </c>
      <c r="O2" s="19" t="s">
        <v>24</v>
      </c>
      <c r="P2" s="20" t="s">
        <v>16</v>
      </c>
      <c r="Q2" s="20" t="s">
        <v>17</v>
      </c>
      <c r="R2" s="20" t="s">
        <v>78</v>
      </c>
      <c r="S2" s="19" t="s">
        <v>75</v>
      </c>
      <c r="T2" s="21" t="s">
        <v>36</v>
      </c>
      <c r="U2" s="21" t="s">
        <v>79</v>
      </c>
      <c r="V2" s="21" t="s">
        <v>66</v>
      </c>
      <c r="W2" s="21" t="s">
        <v>81</v>
      </c>
      <c r="X2" s="21" t="s">
        <v>76</v>
      </c>
      <c r="Y2" s="21" t="s">
        <v>82</v>
      </c>
      <c r="Z2" s="21" t="s">
        <v>33</v>
      </c>
      <c r="AA2" s="21" t="s">
        <v>32</v>
      </c>
      <c r="AB2" s="17" t="s">
        <v>40</v>
      </c>
      <c r="AC2" s="17" t="s">
        <v>59</v>
      </c>
      <c r="AD2" s="25" t="s">
        <v>60</v>
      </c>
    </row>
    <row r="3" spans="1:30" x14ac:dyDescent="0.25">
      <c r="A3" t="s">
        <v>8</v>
      </c>
      <c r="B3" s="50">
        <v>100</v>
      </c>
      <c r="C3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3" s="6">
        <f>MIN(1,IFERROR(Varliklar[[#This Row],[Mevcut]]/Varliklar[[#This Row],[Hedef]],"0"))</f>
        <v>0</v>
      </c>
      <c r="E3" s="8">
        <f ca="1">IFERROR(ROUND(Varliklar[[#This Row],[Net Yatırılan]]/Varliklar[[#This Row],[Mevcut]],2),0)</f>
        <v>0</v>
      </c>
      <c r="F3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3" s="23">
        <f ca="1">Varliklar[[#This Row],[Yatırılan Para]]-Varliklar[[#This Row],[Alınan Temettü]]</f>
        <v>0</v>
      </c>
      <c r="H3" s="6">
        <f ca="1">IFERROR((Varliklar[[#This Row],[Değer]]-Varliklar[[#This Row],[Net Yatırılan]])/Varliklar[[#This Row],[Net Yatırılan]],0)</f>
        <v>0</v>
      </c>
      <c r="I3" s="27">
        <f ca="1">IF(Varliklar[[#This Row],[Hedef]] = 0, 0, Varliklar[[#This Row],[Değer]]-Varliklar[[#This Row],[Net Yatırılan]])</f>
        <v>0</v>
      </c>
      <c r="J3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3" s="6">
        <f>IFERROR((Varliklar[[#This Row],[Güncel F.]]-Varliklar[[#This Row],[Reel Maliyet]])/Varliklar[[#This Row],[Reel Maliyet]], 0)</f>
        <v>0</v>
      </c>
      <c r="L3" s="27">
        <f>Varliklar[[#This Row],[Değer]]-SUMIFS(TradeHist[Reel Maliyet],TradeHist[Hisse],Varliklar[[#This Row],[Hisse]])+SUMIFS(TradeHistSell[Reel Maliyet],TradeHistSell[Hisse],Varliklar[[#This Row],[Hisse]])</f>
        <v>0</v>
      </c>
      <c r="M3" s="3">
        <f>ROUND(Varliklar[[#This Row],[Güncel F.]]*Varliklar[[#This Row],[Mevcut]],0)</f>
        <v>0</v>
      </c>
      <c r="N3" s="6" t="e">
        <f>Varliklar[[#This Row],[Değer]]/Varliklar[[#Totals],[Değer]]</f>
        <v>#DIV/0!</v>
      </c>
      <c r="O3" s="48">
        <v>6.8</v>
      </c>
      <c r="P3" s="3">
        <f>IFERROR(Varliklar[[#This Row],[Güncel F.]]*Varliklar[[#This Row],[Hedef]],"")</f>
        <v>680</v>
      </c>
      <c r="Q3" s="3">
        <f>IFERROR(ROUND(Varliklar[[#This Row],[Hedef Tutar]]-Varliklar[[#This Row],[Değer]],0),"")</f>
        <v>680</v>
      </c>
      <c r="R3" s="1">
        <f>Varliklar[[#This Row],[Hedef Tutar]]/Varliklar[[#Totals],[Hedef Tutar]]</f>
        <v>1.0836656840368714E-2</v>
      </c>
      <c r="S3" s="2"/>
      <c r="T3" s="18" t="str">
        <f>Varliklar[[#This Row],[Hisse]]</f>
        <v>ADANA</v>
      </c>
      <c r="U3" s="49" t="s">
        <v>80</v>
      </c>
      <c r="V3" s="45">
        <v>0.3</v>
      </c>
      <c r="W3" s="32">
        <f ca="1">IF(OR(Varliklar[[#This Row],[Hedef Yüzdesi]] =1, Varliklar[[#This Row],[Hedef]] =0), "",Varliklar[[#This Row],[Hedef Yüzdesi]] * 5 + Varliklar[[#This Row],[Kar%]])</f>
        <v>0</v>
      </c>
      <c r="X3" s="32">
        <f ca="1">IFERROR(_xlfn.RANK.AVG(Varliklar[[#This Row],[Ö]],Varliklar[Ö],1) / Varliklar[[#This Row],[Katsayı]],"")</f>
        <v>28.333333333333336</v>
      </c>
      <c r="Y3" s="30">
        <f ca="1">IF(Varliklar[[#This Row],[Açık]]="E",IFERROR(_xlfn.RANK.EQ(Varliklar[[#This Row],[Katsayılı Sır.]],Varliklar[Katsayılı Sır.],1),""),"")</f>
        <v>14</v>
      </c>
      <c r="Z3" s="33" t="str">
        <f ca="1">IF(Varliklar[[#This Row],[Sır.]]&gt;VALUE($T$19),"",((($T$19+1)-Varliklar[[#This Row],[Sır.]])/($T$19*($T$19+1)/2)*VALUE($Z$19)))</f>
        <v/>
      </c>
      <c r="AA3" s="31" t="str">
        <f ca="1">IFERROR(MIN(Varliklar[[#This Row],[Tutar]]/Varliklar[[#This Row],[Güncel F.]],Varliklar[[#This Row],[Hedef]]-Varliklar[[#This Row],[Mevcut]]),"")</f>
        <v/>
      </c>
      <c r="AB3" s="24" t="str">
        <f>Varliklar[[#This Row],[Hisse]]</f>
        <v>ADANA</v>
      </c>
      <c r="AC3" s="26">
        <f ca="1">SUMIFS(Profits[Toplam],Profits[Hisse],Varliklar[[#This Row],[Hisse]],Profits[Tarih],"&gt;" &amp; TODAY())+SUMIFS(Profits[Toplam],Profits[Hisse],Varliklar[[#This Row],[Hisse]],Profits[Tarih],"=" &amp; "")</f>
        <v>0</v>
      </c>
      <c r="AD3" s="28">
        <f ca="1">SUMIFS(Profits[Toplam],Profits[Hisse],Varliklar[[#This Row],[Hisse]],Profits[Tarih],"&lt;=" &amp; TODAY())</f>
        <v>0</v>
      </c>
    </row>
    <row r="4" spans="1:30" x14ac:dyDescent="0.25">
      <c r="A4" t="s">
        <v>4</v>
      </c>
      <c r="B4" s="50">
        <v>100</v>
      </c>
      <c r="C4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4" s="6">
        <f>MIN(1,IFERROR(Varliklar[[#This Row],[Mevcut]]/Varliklar[[#This Row],[Hedef]],"0"))</f>
        <v>0</v>
      </c>
      <c r="E4" s="8">
        <f ca="1">IFERROR(ROUND(Varliklar[[#This Row],[Net Yatırılan]]/Varliklar[[#This Row],[Mevcut]],2),0)</f>
        <v>0</v>
      </c>
      <c r="F4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4" s="23">
        <f ca="1">Varliklar[[#This Row],[Yatırılan Para]]-Varliklar[[#This Row],[Alınan Temettü]]</f>
        <v>0</v>
      </c>
      <c r="H4" s="6">
        <f ca="1">IFERROR((Varliklar[[#This Row],[Değer]]-Varliklar[[#This Row],[Net Yatırılan]])/Varliklar[[#This Row],[Net Yatırılan]],0)</f>
        <v>0</v>
      </c>
      <c r="I4" s="27">
        <f ca="1">Varliklar[[#This Row],[Değer]]-Varliklar[[#This Row],[Net Yatırılan]]</f>
        <v>0</v>
      </c>
      <c r="J4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4" s="6">
        <f>IFERROR((Varliklar[[#This Row],[Güncel F.]]-Varliklar[[#This Row],[Reel Maliyet]])/Varliklar[[#This Row],[Reel Maliyet]], 0)</f>
        <v>0</v>
      </c>
      <c r="L4" s="27">
        <f>Varliklar[[#This Row],[Değer]]-SUMIFS(TradeHist[Reel Maliyet],TradeHist[Hisse],Varliklar[[#This Row],[Hisse]])+SUMIFS(TradeHistSell[Reel Maliyet],TradeHistSell[Hisse],Varliklar[[#This Row],[Hisse]])</f>
        <v>0</v>
      </c>
      <c r="M4" s="3">
        <f>ROUND(Varliklar[[#This Row],[Güncel F.]]*Varliklar[[#This Row],[Mevcut]],0)</f>
        <v>0</v>
      </c>
      <c r="N4" s="6" t="e">
        <f>Varliklar[[#This Row],[Değer]]/Varliklar[[#Totals],[Değer]]</f>
        <v>#DIV/0!</v>
      </c>
      <c r="O4" s="48">
        <v>5.5465</v>
      </c>
      <c r="P4" s="3">
        <f>IFERROR(Varliklar[[#This Row],[Güncel F.]]*Varliklar[[#This Row],[Hedef]],"")</f>
        <v>554.65</v>
      </c>
      <c r="Q4" s="3">
        <f>IFERROR(Varliklar[[#This Row],[Hedef Tutar]]-Varliklar[[#This Row],[Değer]],"")</f>
        <v>554.65</v>
      </c>
      <c r="R4" s="1">
        <f>Varliklar[[#This Row],[Hedef Tutar]]/Varliklar[[#Totals],[Hedef Tutar]]</f>
        <v>8.839046641927216E-3</v>
      </c>
      <c r="S4" s="12">
        <v>43887</v>
      </c>
      <c r="T4" s="18" t="str">
        <f>Varliklar[[#This Row],[Hisse]]</f>
        <v>AKSA</v>
      </c>
      <c r="U4" s="49" t="s">
        <v>80</v>
      </c>
      <c r="V4" s="45">
        <v>1</v>
      </c>
      <c r="W4" s="32">
        <f ca="1">IF(OR(Varliklar[[#This Row],[Hedef Yüzdesi]] =1, Varliklar[[#This Row],[Hedef]] =0), "",Varliklar[[#This Row],[Hedef Yüzdesi]] * 5 + Varliklar[[#This Row],[Kar%]])</f>
        <v>0</v>
      </c>
      <c r="X4" s="32">
        <f ca="1">IFERROR(_xlfn.RANK.AVG(Varliklar[[#This Row],[Ö]],Varliklar[Ö],1) / Varliklar[[#This Row],[Katsayı]],"")</f>
        <v>8.5</v>
      </c>
      <c r="Y4" s="30">
        <f ca="1">IF(Varliklar[[#This Row],[Açık]]="E",IFERROR(_xlfn.RANK.EQ(Varliklar[[#This Row],[Katsayılı Sır.]],Varliklar[Katsayılı Sır.],1),""),"")</f>
        <v>1</v>
      </c>
      <c r="Z4" s="33">
        <f ca="1">IF(Varliklar[[#This Row],[Sır.]]&gt;VALUE($T$19),"",((($T$19+1)-Varliklar[[#This Row],[Sır.]])/($T$19*($T$19+1)/2)*VALUE($Z$19)))</f>
        <v>10000</v>
      </c>
      <c r="AA4" s="31">
        <f ca="1">IFERROR(MIN(Varliklar[[#This Row],[Tutar]]/Varliklar[[#This Row],[Güncel F.]],Varliklar[[#This Row],[Hedef]]-Varliklar[[#This Row],[Mevcut]]),"")</f>
        <v>100</v>
      </c>
      <c r="AB4" s="24" t="str">
        <f>Varliklar[[#This Row],[Hisse]]</f>
        <v>AKSA</v>
      </c>
      <c r="AC4" s="26">
        <f ca="1">SUMIFS(Profits[Toplam],Profits[Hisse],Varliklar[[#This Row],[Hisse]],Profits[Tarih],"&gt;" &amp; TODAY())+SUMIFS(Profits[Toplam],Profits[Hisse],Varliklar[[#This Row],[Hisse]],Profits[Tarih],"=" &amp; "")</f>
        <v>0</v>
      </c>
      <c r="AD4" s="28">
        <f ca="1">SUMIFS(Profits[Toplam],Profits[Hisse],Varliklar[[#This Row],[Hisse]],Profits[Tarih],"&lt;=" &amp; TODAY())</f>
        <v>0</v>
      </c>
    </row>
    <row r="5" spans="1:30" x14ac:dyDescent="0.25">
      <c r="A5" t="s">
        <v>6</v>
      </c>
      <c r="B5" s="50">
        <v>100</v>
      </c>
      <c r="C5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5" s="6">
        <f>MIN(1,IFERROR(Varliklar[[#This Row],[Mevcut]]/Varliklar[[#This Row],[Hedef]],"0"))</f>
        <v>0</v>
      </c>
      <c r="E5" s="8">
        <f ca="1">IFERROR(ROUND(Varliklar[[#This Row],[Net Yatırılan]]/Varliklar[[#This Row],[Mevcut]],2),0)</f>
        <v>0</v>
      </c>
      <c r="F5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5" s="23">
        <f ca="1">Varliklar[[#This Row],[Yatırılan Para]]-Varliklar[[#This Row],[Alınan Temettü]]</f>
        <v>0</v>
      </c>
      <c r="H5" s="6">
        <f ca="1">IFERROR((Varliklar[[#This Row],[Değer]]-Varliklar[[#This Row],[Net Yatırılan]])/Varliklar[[#This Row],[Net Yatırılan]],0)</f>
        <v>0</v>
      </c>
      <c r="I5" s="27">
        <f ca="1">Varliklar[[#This Row],[Değer]]-Varliklar[[#This Row],[Net Yatırılan]]</f>
        <v>0</v>
      </c>
      <c r="J5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5" s="6">
        <f>IFERROR((Varliklar[[#This Row],[Güncel F.]]-Varliklar[[#This Row],[Reel Maliyet]])/Varliklar[[#This Row],[Reel Maliyet]], 0)</f>
        <v>0</v>
      </c>
      <c r="L5" s="27">
        <f>Varliklar[[#This Row],[Değer]]-SUMIFS(TradeHist[Reel Maliyet],TradeHist[Hisse],Varliklar[[#This Row],[Hisse]])+SUMIFS(TradeHistSell[Reel Maliyet],TradeHistSell[Hisse],Varliklar[[#This Row],[Hisse]])</f>
        <v>0</v>
      </c>
      <c r="M5" s="3">
        <f>ROUND(Varliklar[[#This Row],[Güncel F.]]*Varliklar[[#This Row],[Mevcut]],0)</f>
        <v>0</v>
      </c>
      <c r="N5" s="6" t="e">
        <f>Varliklar[[#This Row],[Değer]]/Varliklar[[#Totals],[Değer]]</f>
        <v>#DIV/0!</v>
      </c>
      <c r="O5" s="97">
        <v>7.95</v>
      </c>
      <c r="P5" s="3">
        <f>IFERROR(Varliklar[[#This Row],[Güncel F.]]*Varliklar[[#This Row],[Hedef]],"")</f>
        <v>795</v>
      </c>
      <c r="Q5" s="3">
        <f>IFERROR(Varliklar[[#This Row],[Hedef Tutar]]-Varliklar[[#This Row],[Değer]],"")</f>
        <v>795</v>
      </c>
      <c r="R5" s="1">
        <f>Varliklar[[#This Row],[Hedef Tutar]]/Varliklar[[#Totals],[Hedef Tutar]]</f>
        <v>1.2669326747195776E-2</v>
      </c>
      <c r="S5" s="2"/>
      <c r="T5" s="18" t="str">
        <f>Varliklar[[#This Row],[Hisse]]</f>
        <v>AYGAZ</v>
      </c>
      <c r="U5" s="49" t="s">
        <v>80</v>
      </c>
      <c r="V5" s="45">
        <v>0.6</v>
      </c>
      <c r="W5" s="32">
        <f ca="1">IF(OR(Varliklar[[#This Row],[Hedef Yüzdesi]] =1, Varliklar[[#This Row],[Hedef]] =0), "",Varliklar[[#This Row],[Hedef Yüzdesi]] * 5 + Varliklar[[#This Row],[Kar%]])</f>
        <v>0</v>
      </c>
      <c r="X5" s="32">
        <f ca="1">IFERROR(_xlfn.RANK.AVG(Varliklar[[#This Row],[Ö]],Varliklar[Ö],1) / Varliklar[[#This Row],[Katsayı]],"")</f>
        <v>14.166666666666668</v>
      </c>
      <c r="Y5" s="30">
        <f ca="1">IF(Varliklar[[#This Row],[Açık]]="E",IFERROR(_xlfn.RANK.EQ(Varliklar[[#This Row],[Katsayılı Sır.]],Varliklar[Katsayılı Sır.],1),""),"")</f>
        <v>9</v>
      </c>
      <c r="Z5" s="33" t="str">
        <f ca="1">IF(Varliklar[[#This Row],[Sır.]]&gt;VALUE($T$19),"",((($T$19+1)-Varliklar[[#This Row],[Sır.]])/($T$19*($T$19+1)/2)*VALUE($Z$19)))</f>
        <v/>
      </c>
      <c r="AA5" s="31" t="str">
        <f ca="1">IFERROR(MIN(Varliklar[[#This Row],[Tutar]]/Varliklar[[#This Row],[Güncel F.]],Varliklar[[#This Row],[Hedef]]-Varliklar[[#This Row],[Mevcut]]),"")</f>
        <v/>
      </c>
      <c r="AB5" s="24" t="str">
        <f>Varliklar[[#This Row],[Hisse]]</f>
        <v>AYGAZ</v>
      </c>
      <c r="AC5" s="26">
        <f ca="1">SUMIFS(Profits[Toplam],Profits[Hisse],Varliklar[[#This Row],[Hisse]],Profits[Tarih],"&gt;" &amp; TODAY())+SUMIFS(Profits[Toplam],Profits[Hisse],Varliklar[[#This Row],[Hisse]],Profits[Tarih],"=" &amp; "")</f>
        <v>0</v>
      </c>
      <c r="AD5" s="28">
        <f ca="1">SUMIFS(Profits[Toplam],Profits[Hisse],Varliklar[[#This Row],[Hisse]],Profits[Tarih],"&lt;=" &amp; TODAY())</f>
        <v>0</v>
      </c>
    </row>
    <row r="6" spans="1:30" x14ac:dyDescent="0.25">
      <c r="A6" t="s">
        <v>0</v>
      </c>
      <c r="B6" s="50">
        <v>100</v>
      </c>
      <c r="C6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6" s="6">
        <f>MIN(1,IFERROR(Varliklar[[#This Row],[Mevcut]]/Varliklar[[#This Row],[Hedef]],"0"))</f>
        <v>0</v>
      </c>
      <c r="E6" s="8">
        <f ca="1">IFERROR(ROUND(Varliklar[[#This Row],[Net Yatırılan]]/Varliklar[[#This Row],[Mevcut]],2),0)</f>
        <v>0</v>
      </c>
      <c r="F6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6" s="23">
        <f ca="1">Varliklar[[#This Row],[Yatırılan Para]]-Varliklar[[#This Row],[Alınan Temettü]]</f>
        <v>0</v>
      </c>
      <c r="H6" s="6">
        <f ca="1">IFERROR((Varliklar[[#This Row],[Değer]]-Varliklar[[#This Row],[Net Yatırılan]])/Varliklar[[#This Row],[Net Yatırılan]],0)</f>
        <v>0</v>
      </c>
      <c r="I6" s="27">
        <f ca="1">Varliklar[[#This Row],[Değer]]-Varliklar[[#This Row],[Net Yatırılan]]</f>
        <v>0</v>
      </c>
      <c r="J6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6" s="6">
        <f>IFERROR((Varliklar[[#This Row],[Güncel F.]]-Varliklar[[#This Row],[Reel Maliyet]])/Varliklar[[#This Row],[Reel Maliyet]], 0)</f>
        <v>0</v>
      </c>
      <c r="L6" s="27">
        <f>Varliklar[[#This Row],[Değer]]-SUMIFS(TradeHist[Reel Maliyet],TradeHist[Hisse],Varliklar[[#This Row],[Hisse]])+SUMIFS(TradeHistSell[Reel Maliyet],TradeHistSell[Hisse],Varliklar[[#This Row],[Hisse]])</f>
        <v>0</v>
      </c>
      <c r="M6" s="3">
        <f>ROUND(Varliklar[[#This Row],[Güncel F.]]*Varliklar[[#This Row],[Mevcut]],0)</f>
        <v>0</v>
      </c>
      <c r="N6" s="6" t="e">
        <f>Varliklar[[#This Row],[Değer]]/Varliklar[[#Totals],[Değer]]</f>
        <v>#DIV/0!</v>
      </c>
      <c r="O6" s="48">
        <v>3.07</v>
      </c>
      <c r="P6" s="3">
        <f>IFERROR(Varliklar[[#This Row],[Güncel F.]]*Varliklar[[#This Row],[Hedef]],"")</f>
        <v>307</v>
      </c>
      <c r="Q6" s="3">
        <f>IFERROR(Varliklar[[#This Row],[Hedef Tutar]]-Varliklar[[#This Row],[Değer]],"")</f>
        <v>307</v>
      </c>
      <c r="R6" s="1">
        <f>Varliklar[[#This Row],[Hedef Tutar]]/Varliklar[[#Totals],[Hedef Tutar]]</f>
        <v>4.892431838225287E-3</v>
      </c>
      <c r="S6" s="12">
        <v>43627</v>
      </c>
      <c r="T6" s="18" t="str">
        <f>Varliklar[[#This Row],[Hisse]]</f>
        <v>BOLUC</v>
      </c>
      <c r="U6" s="49" t="s">
        <v>80</v>
      </c>
      <c r="V6" s="45">
        <v>0.3</v>
      </c>
      <c r="W6" s="32">
        <f ca="1">IF(OR(Varliklar[[#This Row],[Hedef Yüzdesi]] =1, Varliklar[[#This Row],[Hedef]] =0), "",Varliklar[[#This Row],[Hedef Yüzdesi]] * 5 + Varliklar[[#This Row],[Kar%]])</f>
        <v>0</v>
      </c>
      <c r="X6" s="32">
        <f ca="1">IFERROR(_xlfn.RANK.AVG(Varliklar[[#This Row],[Ö]],Varliklar[Ö],1) / Varliklar[[#This Row],[Katsayı]],"")</f>
        <v>28.333333333333336</v>
      </c>
      <c r="Y6" s="30">
        <f ca="1">IF(Varliklar[[#This Row],[Açık]]="E",IFERROR(_xlfn.RANK.EQ(Varliklar[[#This Row],[Katsayılı Sır.]],Varliklar[Katsayılı Sır.],1),""),"")</f>
        <v>14</v>
      </c>
      <c r="Z6" s="33" t="str">
        <f ca="1">IF(Varliklar[[#This Row],[Sır.]]&gt;VALUE($T$19),"",((($T$19+1)-Varliklar[[#This Row],[Sır.]])/($T$19*($T$19+1)/2)*VALUE($Z$19)))</f>
        <v/>
      </c>
      <c r="AA6" s="31" t="str">
        <f ca="1">IFERROR(MIN(Varliklar[[#This Row],[Tutar]]/Varliklar[[#This Row],[Güncel F.]],Varliklar[[#This Row],[Hedef]]-Varliklar[[#This Row],[Mevcut]]),"")</f>
        <v/>
      </c>
      <c r="AB6" s="24" t="str">
        <f>Varliklar[[#This Row],[Hisse]]</f>
        <v>BOLUC</v>
      </c>
      <c r="AC6" s="26">
        <f ca="1">SUMIFS(Profits[Toplam],Profits[Hisse],Varliklar[[#This Row],[Hisse]],Profits[Tarih],"&gt;" &amp; TODAY())+SUMIFS(Profits[Toplam],Profits[Hisse],Varliklar[[#This Row],[Hisse]],Profits[Tarih],"=" &amp; "")</f>
        <v>0</v>
      </c>
      <c r="AD6" s="28">
        <f ca="1">SUMIFS(Profits[Toplam],Profits[Hisse],Varliklar[[#This Row],[Hisse]],Profits[Tarih],"&lt;=" &amp; TODAY())</f>
        <v>0</v>
      </c>
    </row>
    <row r="7" spans="1:30" x14ac:dyDescent="0.25">
      <c r="A7" t="s">
        <v>1</v>
      </c>
      <c r="B7" s="50">
        <v>100</v>
      </c>
      <c r="C7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7" s="6">
        <f>MIN(1,IFERROR(Varliklar[[#This Row],[Mevcut]]/Varliklar[[#This Row],[Hedef]],"0"))</f>
        <v>0</v>
      </c>
      <c r="E7" s="8">
        <f ca="1">IFERROR(ROUND(Varliklar[[#This Row],[Net Yatırılan]]/Varliklar[[#This Row],[Mevcut]],2),0)</f>
        <v>0</v>
      </c>
      <c r="F7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7" s="23">
        <f ca="1">Varliklar[[#This Row],[Yatırılan Para]]-Varliklar[[#This Row],[Alınan Temettü]]</f>
        <v>0</v>
      </c>
      <c r="H7" s="6">
        <f ca="1">IFERROR((Varliklar[[#This Row],[Değer]]-Varliklar[[#This Row],[Net Yatırılan]])/Varliklar[[#This Row],[Net Yatırılan]],0)</f>
        <v>0</v>
      </c>
      <c r="I7" s="27">
        <f ca="1">Varliklar[[#This Row],[Değer]]-Varliklar[[#This Row],[Net Yatırılan]]</f>
        <v>0</v>
      </c>
      <c r="J7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7" s="6">
        <f>IFERROR((Varliklar[[#This Row],[Güncel F.]]-Varliklar[[#This Row],[Reel Maliyet]])/Varliklar[[#This Row],[Reel Maliyet]], 0)</f>
        <v>0</v>
      </c>
      <c r="L7" s="27">
        <f>Varliklar[[#This Row],[Değer]]-SUMIFS(TradeHist[Reel Maliyet],TradeHist[Hisse],Varliklar[[#This Row],[Hisse]])+SUMIFS(TradeHistSell[Reel Maliyet],TradeHistSell[Hisse],Varliklar[[#This Row],[Hisse]])</f>
        <v>0</v>
      </c>
      <c r="M7" s="3">
        <f>ROUND(Varliklar[[#This Row],[Güncel F.]]*Varliklar[[#This Row],[Mevcut]],0)</f>
        <v>0</v>
      </c>
      <c r="N7" s="6" t="e">
        <f>Varliklar[[#This Row],[Değer]]/Varliklar[[#Totals],[Değer]]</f>
        <v>#DIV/0!</v>
      </c>
      <c r="O7" s="48">
        <v>6.06</v>
      </c>
      <c r="P7" s="3">
        <f>IFERROR(Varliklar[[#This Row],[Güncel F.]]*Varliklar[[#This Row],[Hedef]],"")</f>
        <v>606</v>
      </c>
      <c r="Q7" s="3">
        <f>IFERROR(Varliklar[[#This Row],[Hedef Tutar]]-Varliklar[[#This Row],[Değer]],"")</f>
        <v>606</v>
      </c>
      <c r="R7" s="1">
        <f>Varliklar[[#This Row],[Hedef Tutar]]/Varliklar[[#Totals],[Hedef Tutar]]</f>
        <v>9.6573735959756477E-3</v>
      </c>
      <c r="S7" s="12">
        <v>43595</v>
      </c>
      <c r="T7" s="18" t="str">
        <f>Varliklar[[#This Row],[Hisse]]</f>
        <v>CIMSA</v>
      </c>
      <c r="U7" s="49" t="s">
        <v>80</v>
      </c>
      <c r="V7" s="45">
        <v>0.5</v>
      </c>
      <c r="W7" s="32">
        <f ca="1">IF(OR(Varliklar[[#This Row],[Hedef Yüzdesi]] =1, Varliklar[[#This Row],[Hedef]] =0), "",Varliklar[[#This Row],[Hedef Yüzdesi]] * 5 + Varliklar[[#This Row],[Kar%]])</f>
        <v>0</v>
      </c>
      <c r="X7" s="32">
        <f ca="1">IFERROR(_xlfn.RANK.AVG(Varliklar[[#This Row],[Ö]],Varliklar[Ö],1) / Varliklar[[#This Row],[Katsayı]],"")</f>
        <v>17</v>
      </c>
      <c r="Y7" s="30">
        <f ca="1">IF(Varliklar[[#This Row],[Açık]]="E",IFERROR(_xlfn.RANK.EQ(Varliklar[[#This Row],[Katsayılı Sır.]],Varliklar[Katsayılı Sır.],1),""),"")</f>
        <v>11</v>
      </c>
      <c r="Z7" s="33" t="str">
        <f ca="1">IF(Varliklar[[#This Row],[Sır.]]&gt;VALUE($T$19),"",((($T$19+1)-Varliklar[[#This Row],[Sır.]])/($T$19*($T$19+1)/2)*VALUE($Z$19)))</f>
        <v/>
      </c>
      <c r="AA7" s="31" t="str">
        <f ca="1">IFERROR(MIN(Varliklar[[#This Row],[Tutar]]/Varliklar[[#This Row],[Güncel F.]],Varliklar[[#This Row],[Hedef]]-Varliklar[[#This Row],[Mevcut]]),"")</f>
        <v/>
      </c>
      <c r="AB7" s="24" t="str">
        <f>Varliklar[[#This Row],[Hisse]]</f>
        <v>CIMSA</v>
      </c>
      <c r="AC7" s="26">
        <f ca="1">SUMIFS(Profits[Toplam],Profits[Hisse],Varliklar[[#This Row],[Hisse]],Profits[Tarih],"&gt;" &amp; TODAY())+SUMIFS(Profits[Toplam],Profits[Hisse],Varliklar[[#This Row],[Hisse]],Profits[Tarih],"=" &amp; "")</f>
        <v>0</v>
      </c>
      <c r="AD7" s="28">
        <f ca="1">SUMIFS(Profits[Toplam],Profits[Hisse],Varliklar[[#This Row],[Hisse]],Profits[Tarih],"&lt;=" &amp; TODAY())</f>
        <v>0</v>
      </c>
    </row>
    <row r="8" spans="1:30" x14ac:dyDescent="0.25">
      <c r="A8" t="s">
        <v>9</v>
      </c>
      <c r="B8" s="50">
        <v>100</v>
      </c>
      <c r="C8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8" s="6">
        <f>MIN(1,IFERROR(Varliklar[[#This Row],[Mevcut]]/Varliklar[[#This Row],[Hedef]],"0"))</f>
        <v>0</v>
      </c>
      <c r="E8" s="8">
        <f ca="1">IFERROR(ROUND(Varliklar[[#This Row],[Net Yatırılan]]/Varliklar[[#This Row],[Mevcut]],2),0)</f>
        <v>0</v>
      </c>
      <c r="F8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8" s="23">
        <f ca="1">Varliklar[[#This Row],[Yatırılan Para]]-Varliklar[[#This Row],[Alınan Temettü]]</f>
        <v>0</v>
      </c>
      <c r="H8" s="6">
        <f ca="1">IFERROR((Varliklar[[#This Row],[Değer]]-Varliklar[[#This Row],[Net Yatırılan]])/Varliklar[[#This Row],[Net Yatırılan]],0)</f>
        <v>0</v>
      </c>
      <c r="I8" s="27">
        <f ca="1">Varliklar[[#This Row],[Değer]]-Varliklar[[#This Row],[Net Yatırılan]]</f>
        <v>0</v>
      </c>
      <c r="J8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8" s="6">
        <f>IFERROR((Varliklar[[#This Row],[Güncel F.]]-Varliklar[[#This Row],[Reel Maliyet]])/Varliklar[[#This Row],[Reel Maliyet]], 0)</f>
        <v>0</v>
      </c>
      <c r="L8" s="27">
        <f>Varliklar[[#This Row],[Değer]]-SUMIFS(TradeHist[Reel Maliyet],TradeHist[Hisse],Varliklar[[#This Row],[Hisse]])+SUMIFS(TradeHistSell[Reel Maliyet],TradeHistSell[Hisse],Varliklar[[#This Row],[Hisse]])</f>
        <v>0</v>
      </c>
      <c r="M8" s="3">
        <f>ROUND(Varliklar[[#This Row],[Güncel F.]]*Varliklar[[#This Row],[Mevcut]],0)</f>
        <v>0</v>
      </c>
      <c r="N8" s="6" t="e">
        <f>Varliklar[[#This Row],[Değer]]/Varliklar[[#Totals],[Değer]]</f>
        <v>#DIV/0!</v>
      </c>
      <c r="O8" s="48">
        <v>3.29</v>
      </c>
      <c r="P8" s="3">
        <f>IFERROR(Varliklar[[#This Row],[Güncel F.]]*Varliklar[[#This Row],[Hedef]],"")</f>
        <v>329</v>
      </c>
      <c r="Q8" s="3">
        <f>IFERROR(Varliklar[[#This Row],[Hedef Tutar]]-Varliklar[[#This Row],[Değer]],"")</f>
        <v>329</v>
      </c>
      <c r="R8" s="1">
        <f>Varliklar[[#This Row],[Hedef Tutar]]/Varliklar[[#Totals],[Hedef Tutar]]</f>
        <v>5.2430295595313333E-3</v>
      </c>
      <c r="S8" s="2"/>
      <c r="T8" s="18" t="str">
        <f>Varliklar[[#This Row],[Hisse]]</f>
        <v>DESPC</v>
      </c>
      <c r="U8" s="49" t="s">
        <v>80</v>
      </c>
      <c r="V8" s="45">
        <v>0.5</v>
      </c>
      <c r="W8" s="32">
        <f ca="1">IF(OR(Varliklar[[#This Row],[Hedef Yüzdesi]] =1, Varliklar[[#This Row],[Hedef]] =0), "",Varliklar[[#This Row],[Hedef Yüzdesi]] * 5 + Varliklar[[#This Row],[Kar%]])</f>
        <v>0</v>
      </c>
      <c r="X8" s="32">
        <f ca="1">IFERROR(_xlfn.RANK.AVG(Varliklar[[#This Row],[Ö]],Varliklar[Ö],1) / Varliklar[[#This Row],[Katsayı]],"")</f>
        <v>17</v>
      </c>
      <c r="Y8" s="30">
        <f ca="1">IF(Varliklar[[#This Row],[Açık]]="E",IFERROR(_xlfn.RANK.EQ(Varliklar[[#This Row],[Katsayılı Sır.]],Varliklar[Katsayılı Sır.],1),""),"")</f>
        <v>11</v>
      </c>
      <c r="Z8" s="33" t="str">
        <f ca="1">IF(Varliklar[[#This Row],[Sır.]]&gt;VALUE($T$19),"",((($T$19+1)-Varliklar[[#This Row],[Sır.]])/($T$19*($T$19+1)/2)*VALUE($Z$19)))</f>
        <v/>
      </c>
      <c r="AA8" s="31" t="str">
        <f ca="1">IFERROR(MIN(Varliklar[[#This Row],[Tutar]]/Varliklar[[#This Row],[Güncel F.]],Varliklar[[#This Row],[Hedef]]-Varliklar[[#This Row],[Mevcut]]),"")</f>
        <v/>
      </c>
      <c r="AB8" s="24" t="str">
        <f>Varliklar[[#This Row],[Hisse]]</f>
        <v>DESPC</v>
      </c>
      <c r="AC8" s="26">
        <f ca="1">SUMIFS(Profits[Toplam],Profits[Hisse],Varliklar[[#This Row],[Hisse]],Profits[Tarih],"&gt;" &amp; TODAY())+SUMIFS(Profits[Toplam],Profits[Hisse],Varliklar[[#This Row],[Hisse]],Profits[Tarih],"=" &amp; "")</f>
        <v>0</v>
      </c>
      <c r="AD8" s="28">
        <f ca="1">SUMIFS(Profits[Toplam],Profits[Hisse],Varliklar[[#This Row],[Hisse]],Profits[Tarih],"&lt;=" &amp; TODAY())</f>
        <v>0</v>
      </c>
    </row>
    <row r="9" spans="1:30" x14ac:dyDescent="0.25">
      <c r="A9" t="s">
        <v>7</v>
      </c>
      <c r="B9" s="50">
        <v>100</v>
      </c>
      <c r="C9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9" s="6">
        <f>MIN(1,IFERROR(Varliklar[[#This Row],[Mevcut]]/Varliklar[[#This Row],[Hedef]],"0"))</f>
        <v>0</v>
      </c>
      <c r="E9" s="8">
        <f ca="1">IFERROR(ROUND(Varliklar[[#This Row],[Net Yatırılan]]/Varliklar[[#This Row],[Mevcut]],2),0)</f>
        <v>0</v>
      </c>
      <c r="F9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9" s="23">
        <f ca="1">Varliklar[[#This Row],[Yatırılan Para]]-Varliklar[[#This Row],[Alınan Temettü]]</f>
        <v>0</v>
      </c>
      <c r="H9" s="6">
        <f ca="1">IFERROR((Varliklar[[#This Row],[Değer]]-Varliklar[[#This Row],[Net Yatırılan]])/Varliklar[[#This Row],[Net Yatırılan]],0)</f>
        <v>0</v>
      </c>
      <c r="I9" s="27">
        <f ca="1">Varliklar[[#This Row],[Değer]]-Varliklar[[#This Row],[Net Yatırılan]]</f>
        <v>0</v>
      </c>
      <c r="J9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9" s="6">
        <f>IFERROR((Varliklar[[#This Row],[Güncel F.]]-Varliklar[[#This Row],[Reel Maliyet]])/Varliklar[[#This Row],[Reel Maliyet]], 0)</f>
        <v>0</v>
      </c>
      <c r="L9" s="27">
        <f>Varliklar[[#This Row],[Değer]]-SUMIFS(TradeHist[Reel Maliyet],TradeHist[Hisse],Varliklar[[#This Row],[Hisse]])+SUMIFS(TradeHistSell[Reel Maliyet],TradeHistSell[Hisse],Varliklar[[#This Row],[Hisse]])</f>
        <v>0</v>
      </c>
      <c r="M9" s="3">
        <f>ROUND(Varliklar[[#This Row],[Güncel F.]]*Varliklar[[#This Row],[Mevcut]],0)</f>
        <v>0</v>
      </c>
      <c r="N9" s="6" t="e">
        <f>Varliklar[[#This Row],[Değer]]/Varliklar[[#Totals],[Değer]]</f>
        <v>#DIV/0!</v>
      </c>
      <c r="O9" s="48">
        <v>401.01560000000001</v>
      </c>
      <c r="P9" s="3">
        <f>IFERROR(Varliklar[[#This Row],[Güncel F.]]*Varliklar[[#This Row],[Hedef]],"")</f>
        <v>40101.56</v>
      </c>
      <c r="Q9" s="3">
        <f>IFERROR(Varliklar[[#This Row],[Hedef Tutar]]-Varliklar[[#This Row],[Değer]],"")</f>
        <v>40101.56</v>
      </c>
      <c r="R9" s="1">
        <f>Varliklar[[#This Row],[Hedef Tutar]]/Varliklar[[#Totals],[Hedef Tutar]]</f>
        <v>0.63906888894625935</v>
      </c>
      <c r="S9" s="2"/>
      <c r="T9" s="18" t="str">
        <f>Varliklar[[#This Row],[Hisse]]</f>
        <v>EGEEN</v>
      </c>
      <c r="U9" s="49" t="s">
        <v>80</v>
      </c>
      <c r="V9" s="45">
        <v>1</v>
      </c>
      <c r="W9" s="32">
        <f ca="1">IF(OR(Varliklar[[#This Row],[Hedef Yüzdesi]] =1, Varliklar[[#This Row],[Hedef]] =0), "",Varliklar[[#This Row],[Hedef Yüzdesi]] * 5 + Varliklar[[#This Row],[Kar%]])</f>
        <v>0</v>
      </c>
      <c r="X9" s="32">
        <f ca="1">IFERROR(_xlfn.RANK.AVG(Varliklar[[#This Row],[Ö]],Varliklar[Ö],1) / Varliklar[[#This Row],[Katsayı]],"")</f>
        <v>8.5</v>
      </c>
      <c r="Y9" s="30">
        <f ca="1">IF(Varliklar[[#This Row],[Açık]]="E",IFERROR(_xlfn.RANK.EQ(Varliklar[[#This Row],[Katsayılı Sır.]],Varliklar[Katsayılı Sır.],1),""),"")</f>
        <v>1</v>
      </c>
      <c r="Z9" s="33">
        <f ca="1">IF(Varliklar[[#This Row],[Sır.]]&gt;VALUE($T$19),"",((($T$19+1)-Varliklar[[#This Row],[Sır.]])/($T$19*($T$19+1)/2)*VALUE($Z$19)))</f>
        <v>10000</v>
      </c>
      <c r="AA9" s="31">
        <f ca="1">IFERROR(MIN(Varliklar[[#This Row],[Tutar]]/Varliklar[[#This Row],[Güncel F.]],Varliklar[[#This Row],[Hedef]]-Varliklar[[#This Row],[Mevcut]]),"")</f>
        <v>24.936685754868389</v>
      </c>
      <c r="AB9" s="24" t="str">
        <f>Varliklar[[#This Row],[Hisse]]</f>
        <v>EGEEN</v>
      </c>
      <c r="AC9" s="26">
        <f ca="1">SUMIFS(Profits[Toplam],Profits[Hisse],Varliklar[[#This Row],[Hisse]],Profits[Tarih],"&gt;" &amp; TODAY())+SUMIFS(Profits[Toplam],Profits[Hisse],Varliklar[[#This Row],[Hisse]],Profits[Tarih],"=" &amp; "")</f>
        <v>0</v>
      </c>
      <c r="AD9" s="28">
        <f ca="1">SUMIFS(Profits[Toplam],Profits[Hisse],Varliklar[[#This Row],[Hisse]],Profits[Tarih],"&lt;=" &amp; TODAY())</f>
        <v>0</v>
      </c>
    </row>
    <row r="10" spans="1:30" x14ac:dyDescent="0.25">
      <c r="A10" t="s">
        <v>34</v>
      </c>
      <c r="B10" s="50">
        <v>100</v>
      </c>
      <c r="C10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0" s="6">
        <f>MIN(1,IFERROR(Varliklar[[#This Row],[Mevcut]]/Varliklar[[#This Row],[Hedef]],"0"))</f>
        <v>0</v>
      </c>
      <c r="E10" s="8">
        <f ca="1">IFERROR(ROUND(Varliklar[[#This Row],[Net Yatırılan]]/Varliklar[[#This Row],[Mevcut]],2),0)</f>
        <v>0</v>
      </c>
      <c r="F10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0" s="23">
        <f ca="1">Varliklar[[#This Row],[Yatırılan Para]]-Varliklar[[#This Row],[Alınan Temettü]]</f>
        <v>0</v>
      </c>
      <c r="H10" s="6">
        <f ca="1">IFERROR((Varliklar[[#This Row],[Değer]]-Varliklar[[#This Row],[Net Yatırılan]])/Varliklar[[#This Row],[Net Yatırılan]],0)</f>
        <v>0</v>
      </c>
      <c r="I10" s="27">
        <f ca="1">Varliklar[[#This Row],[Değer]]-Varliklar[[#This Row],[Net Yatırılan]]</f>
        <v>0</v>
      </c>
      <c r="J10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0" s="6">
        <f>IFERROR((Varliklar[[#This Row],[Güncel F.]]-Varliklar[[#This Row],[Reel Maliyet]])/Varliklar[[#This Row],[Reel Maliyet]], 0)</f>
        <v>0</v>
      </c>
      <c r="L10" s="27">
        <f>Varliklar[[#This Row],[Değer]]-SUMIFS(TradeHist[Reel Maliyet],TradeHist[Hisse],Varliklar[[#This Row],[Hisse]])+SUMIFS(TradeHistSell[Reel Maliyet],TradeHistSell[Hisse],Varliklar[[#This Row],[Hisse]])</f>
        <v>0</v>
      </c>
      <c r="M10" s="3">
        <f>ROUND(Varliklar[[#This Row],[Güncel F.]]*Varliklar[[#This Row],[Mevcut]],0)</f>
        <v>0</v>
      </c>
      <c r="N10" s="6" t="e">
        <f>Varliklar[[#This Row],[Değer]]/Varliklar[[#Totals],[Değer]]</f>
        <v>#DIV/0!</v>
      </c>
      <c r="O10" s="48">
        <v>6.18</v>
      </c>
      <c r="P10" s="3">
        <f>IFERROR(Varliklar[[#This Row],[Güncel F.]]*Varliklar[[#This Row],[Hedef]],"")</f>
        <v>618</v>
      </c>
      <c r="Q10" s="3">
        <f>IFERROR(Varliklar[[#This Row],[Hedef Tutar]]-Varliklar[[#This Row],[Değer]],"")</f>
        <v>618</v>
      </c>
      <c r="R10" s="1">
        <f>Varliklar[[#This Row],[Hedef Tutar]]/Varliklar[[#Totals],[Hedef Tutar]]</f>
        <v>9.8486087166880371E-3</v>
      </c>
      <c r="S10" s="2"/>
      <c r="T10" s="18" t="str">
        <f>Varliklar[[#This Row],[Hisse]]</f>
        <v>ENJSA</v>
      </c>
      <c r="U10" s="49" t="s">
        <v>80</v>
      </c>
      <c r="V10" s="45">
        <v>0.3</v>
      </c>
      <c r="W10" s="32">
        <f ca="1">IF(OR(Varliklar[[#This Row],[Hedef Yüzdesi]] =1, Varliklar[[#This Row],[Hedef]] =0), "",Varliklar[[#This Row],[Hedef Yüzdesi]] * 5 + Varliklar[[#This Row],[Kar%]])</f>
        <v>0</v>
      </c>
      <c r="X10" s="32">
        <f ca="1">IFERROR(_xlfn.RANK.AVG(Varliklar[[#This Row],[Ö]],Varliklar[Ö],1) / Varliklar[[#This Row],[Katsayı]],"")</f>
        <v>28.333333333333336</v>
      </c>
      <c r="Y10" s="30">
        <f ca="1">IF(Varliklar[[#This Row],[Açık]]="E",IFERROR(_xlfn.RANK.EQ(Varliklar[[#This Row],[Katsayılı Sır.]],Varliklar[Katsayılı Sır.],1),""),"")</f>
        <v>14</v>
      </c>
      <c r="Z10" s="33" t="str">
        <f ca="1">IF(Varliklar[[#This Row],[Sır.]]&gt;VALUE($T$19),"",((($T$19+1)-Varliklar[[#This Row],[Sır.]])/($T$19*($T$19+1)/2)*VALUE($Z$19)))</f>
        <v/>
      </c>
      <c r="AA10" s="31" t="str">
        <f ca="1">IFERROR(MIN(Varliklar[[#This Row],[Tutar]]/Varliklar[[#This Row],[Güncel F.]],Varliklar[[#This Row],[Hedef]]-Varliklar[[#This Row],[Mevcut]]),"")</f>
        <v/>
      </c>
      <c r="AB10" s="24" t="str">
        <f>Varliklar[[#This Row],[Hisse]]</f>
        <v>ENJSA</v>
      </c>
      <c r="AC10" s="26">
        <f ca="1">SUMIFS(Profits[Toplam],Profits[Hisse],Varliklar[[#This Row],[Hisse]],Profits[Tarih],"&gt;" &amp; TODAY())+SUMIFS(Profits[Toplam],Profits[Hisse],Varliklar[[#This Row],[Hisse]],Profits[Tarih],"=" &amp; "")</f>
        <v>0</v>
      </c>
      <c r="AD10" s="28">
        <f ca="1">SUMIFS(Profits[Toplam],Profits[Hisse],Varliklar[[#This Row],[Hisse]],Profits[Tarih],"&lt;=" &amp; TODAY())</f>
        <v>0</v>
      </c>
    </row>
    <row r="11" spans="1:30" x14ac:dyDescent="0.25">
      <c r="A11" t="s">
        <v>5</v>
      </c>
      <c r="B11" s="50">
        <v>100</v>
      </c>
      <c r="C11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1" s="6">
        <f>MIN(1,IFERROR(Varliklar[[#This Row],[Mevcut]]/Varliklar[[#This Row],[Hedef]],"0"))</f>
        <v>0</v>
      </c>
      <c r="E11" s="8">
        <f ca="1">IFERROR(ROUND(Varliklar[[#This Row],[Net Yatırılan]]/Varliklar[[#This Row],[Mevcut]],2),0)</f>
        <v>0</v>
      </c>
      <c r="F11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1" s="23">
        <f ca="1">Varliklar[[#This Row],[Yatırılan Para]]-Varliklar[[#This Row],[Alınan Temettü]]</f>
        <v>0</v>
      </c>
      <c r="H11" s="6">
        <f ca="1">IFERROR((Varliklar[[#This Row],[Değer]]-Varliklar[[#This Row],[Net Yatırılan]])/Varliklar[[#This Row],[Net Yatırılan]],0)</f>
        <v>0</v>
      </c>
      <c r="I11" s="27">
        <f ca="1">Varliklar[[#This Row],[Değer]]-Varliklar[[#This Row],[Net Yatırılan]]</f>
        <v>0</v>
      </c>
      <c r="J11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1" s="6">
        <f>IFERROR((Varliklar[[#This Row],[Güncel F.]]-Varliklar[[#This Row],[Reel Maliyet]])/Varliklar[[#This Row],[Reel Maliyet]], 0)</f>
        <v>0</v>
      </c>
      <c r="L11" s="27">
        <f>Varliklar[[#This Row],[Değer]]-SUMIFS(TradeHist[Reel Maliyet],TradeHist[Hisse],Varliklar[[#This Row],[Hisse]])+SUMIFS(TradeHistSell[Reel Maliyet],TradeHistSell[Hisse],Varliklar[[#This Row],[Hisse]])</f>
        <v>0</v>
      </c>
      <c r="M11" s="3">
        <f>ROUND(Varliklar[[#This Row],[Güncel F.]]*Varliklar[[#This Row],[Mevcut]],0)</f>
        <v>0</v>
      </c>
      <c r="N11" s="6" t="e">
        <f>Varliklar[[#This Row],[Değer]]/Varliklar[[#Totals],[Değer]]</f>
        <v>#DIV/0!</v>
      </c>
      <c r="O11" s="48">
        <v>7.86</v>
      </c>
      <c r="P11" s="3">
        <f>IFERROR(Varliklar[[#This Row],[Güncel F.]]*Varliklar[[#This Row],[Hedef]],"")</f>
        <v>786</v>
      </c>
      <c r="Q11" s="3">
        <f>IFERROR(Varliklar[[#This Row],[Hedef Tutar]]-Varliklar[[#This Row],[Değer]],"")</f>
        <v>786</v>
      </c>
      <c r="R11" s="1">
        <f>Varliklar[[#This Row],[Hedef Tutar]]/Varliklar[[#Totals],[Hedef Tutar]]</f>
        <v>1.2525900406661484E-2</v>
      </c>
      <c r="S11" s="12">
        <v>43723</v>
      </c>
      <c r="T11" s="18" t="str">
        <f>Varliklar[[#This Row],[Hisse]]</f>
        <v>EREGL</v>
      </c>
      <c r="U11" s="49" t="s">
        <v>80</v>
      </c>
      <c r="V11" s="45">
        <v>1</v>
      </c>
      <c r="W11" s="32">
        <f ca="1">IF(OR(Varliklar[[#This Row],[Hedef Yüzdesi]] =1, Varliklar[[#This Row],[Hedef]] =0), "",Varliklar[[#This Row],[Hedef Yüzdesi]] * 5 + Varliklar[[#This Row],[Kar%]])</f>
        <v>0</v>
      </c>
      <c r="X11" s="32">
        <f ca="1">IFERROR(_xlfn.RANK.AVG(Varliklar[[#This Row],[Ö]],Varliklar[Ö],1) / Varliklar[[#This Row],[Katsayı]],"")</f>
        <v>8.5</v>
      </c>
      <c r="Y11" s="30">
        <f ca="1">IF(Varliklar[[#This Row],[Açık]]="E",IFERROR(_xlfn.RANK.EQ(Varliklar[[#This Row],[Katsayılı Sır.]],Varliklar[Katsayılı Sır.],1),""),"")</f>
        <v>1</v>
      </c>
      <c r="Z11" s="33">
        <f ca="1">IF(Varliklar[[#This Row],[Sır.]]&gt;VALUE($T$19),"",((($T$19+1)-Varliklar[[#This Row],[Sır.]])/($T$19*($T$19+1)/2)*VALUE($Z$19)))</f>
        <v>10000</v>
      </c>
      <c r="AA11" s="31">
        <f ca="1">IFERROR(MIN(Varliklar[[#This Row],[Tutar]]/Varliklar[[#This Row],[Güncel F.]],Varliklar[[#This Row],[Hedef]]-Varliklar[[#This Row],[Mevcut]]),"")</f>
        <v>100</v>
      </c>
      <c r="AB11" s="24" t="str">
        <f>Varliklar[[#This Row],[Hisse]]</f>
        <v>EREGL</v>
      </c>
      <c r="AC11" s="26">
        <f ca="1">SUMIFS(Profits[Toplam],Profits[Hisse],Varliklar[[#This Row],[Hisse]],Profits[Tarih],"&gt;" &amp; TODAY())+SUMIFS(Profits[Toplam],Profits[Hisse],Varliklar[[#This Row],[Hisse]],Profits[Tarih],"=" &amp; "")</f>
        <v>0</v>
      </c>
      <c r="AD11" s="28">
        <f ca="1">SUMIFS(Profits[Toplam],Profits[Hisse],Varliklar[[#This Row],[Hisse]],Profits[Tarih],"&lt;=" &amp; TODAY())</f>
        <v>0</v>
      </c>
    </row>
    <row r="12" spans="1:30" x14ac:dyDescent="0.25">
      <c r="A12" t="s">
        <v>11</v>
      </c>
      <c r="B12" s="50">
        <v>100</v>
      </c>
      <c r="C12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2" s="6">
        <f>MIN(1,IFERROR(Varliklar[[#This Row],[Mevcut]]/Varliklar[[#This Row],[Hedef]],"0"))</f>
        <v>0</v>
      </c>
      <c r="E12" s="8">
        <f ca="1">IFERROR(ROUND(Varliklar[[#This Row],[Net Yatırılan]]/Varliklar[[#This Row],[Mevcut]],2),0)</f>
        <v>0</v>
      </c>
      <c r="F12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2" s="23">
        <f ca="1">Varliklar[[#This Row],[Yatırılan Para]]-Varliklar[[#This Row],[Alınan Temettü]]</f>
        <v>0</v>
      </c>
      <c r="H12" s="6">
        <f ca="1">IFERROR((Varliklar[[#This Row],[Değer]]-Varliklar[[#This Row],[Net Yatırılan]])/Varliklar[[#This Row],[Net Yatırılan]],0)</f>
        <v>0</v>
      </c>
      <c r="I12" s="27">
        <f ca="1">Varliklar[[#This Row],[Değer]]-Varliklar[[#This Row],[Net Yatırılan]]</f>
        <v>0</v>
      </c>
      <c r="J12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2" s="6">
        <f>IFERROR((Varliklar[[#This Row],[Güncel F.]]-Varliklar[[#This Row],[Reel Maliyet]])/Varliklar[[#This Row],[Reel Maliyet]], 0)</f>
        <v>0</v>
      </c>
      <c r="L12" s="27">
        <f>Varliklar[[#This Row],[Değer]]-SUMIFS(TradeHist[Reel Maliyet],TradeHist[Hisse],Varliklar[[#This Row],[Hisse]])+SUMIFS(TradeHistSell[Reel Maliyet],TradeHistSell[Hisse],Varliklar[[#This Row],[Hisse]])</f>
        <v>0</v>
      </c>
      <c r="M12" s="3">
        <f>ROUND(Varliklar[[#This Row],[Güncel F.]]*Varliklar[[#This Row],[Mevcut]],0)</f>
        <v>0</v>
      </c>
      <c r="N12" s="6" t="e">
        <f>Varliklar[[#This Row],[Değer]]/Varliklar[[#Totals],[Değer]]</f>
        <v>#DIV/0!</v>
      </c>
      <c r="O12" s="48">
        <v>43.559800000000003</v>
      </c>
      <c r="P12" s="3">
        <f>IFERROR(Varliklar[[#This Row],[Güncel F.]]*Varliklar[[#This Row],[Hedef]],"")</f>
        <v>4355.9800000000005</v>
      </c>
      <c r="Q12" s="3">
        <f>IFERROR(Varliklar[[#This Row],[Hedef Tutar]]-Varliklar[[#This Row],[Değer]],"")</f>
        <v>4355.9800000000005</v>
      </c>
      <c r="R12" s="1">
        <f>Varliklar[[#This Row],[Hedef Tutar]]/Varliklar[[#Totals],[Hedef Tutar]]</f>
        <v>6.9418030093396046E-2</v>
      </c>
      <c r="S12" s="2"/>
      <c r="T12" s="18" t="str">
        <f>Varliklar[[#This Row],[Hisse]]</f>
        <v>FROTO</v>
      </c>
      <c r="U12" s="49" t="s">
        <v>80</v>
      </c>
      <c r="V12" s="45">
        <v>0.9</v>
      </c>
      <c r="W12" s="32">
        <f ca="1">IF(OR(Varliklar[[#This Row],[Hedef Yüzdesi]] =1, Varliklar[[#This Row],[Hedef]] =0), "",Varliklar[[#This Row],[Hedef Yüzdesi]] * 5 + Varliklar[[#This Row],[Kar%]])</f>
        <v>0</v>
      </c>
      <c r="X12" s="32">
        <f ca="1">IFERROR(_xlfn.RANK.AVG(Varliklar[[#This Row],[Ö]],Varliklar[Ö],1) / Varliklar[[#This Row],[Katsayı]],"")</f>
        <v>9.4444444444444446</v>
      </c>
      <c r="Y12" s="30">
        <f ca="1">IF(Varliklar[[#This Row],[Açık]]="E",IFERROR(_xlfn.RANK.EQ(Varliklar[[#This Row],[Katsayılı Sır.]],Varliklar[Katsayılı Sır.],1),""),"")</f>
        <v>7</v>
      </c>
      <c r="Z12" s="33" t="str">
        <f ca="1">IF(Varliklar[[#This Row],[Sır.]]&gt;VALUE($T$19),"",((($T$19+1)-Varliklar[[#This Row],[Sır.]])/($T$19*($T$19+1)/2)*VALUE($Z$19)))</f>
        <v/>
      </c>
      <c r="AA12" s="31" t="str">
        <f ca="1">IFERROR(MIN(Varliklar[[#This Row],[Tutar]]/Varliklar[[#This Row],[Güncel F.]],Varliklar[[#This Row],[Hedef]]-Varliklar[[#This Row],[Mevcut]]),"")</f>
        <v/>
      </c>
      <c r="AB12" s="24" t="str">
        <f>Varliklar[[#This Row],[Hisse]]</f>
        <v>FROTO</v>
      </c>
      <c r="AC12" s="26">
        <f ca="1">SUMIFS(Profits[Toplam],Profits[Hisse],Varliklar[[#This Row],[Hisse]],Profits[Tarih],"&gt;" &amp; TODAY())+SUMIFS(Profits[Toplam],Profits[Hisse],Varliklar[[#This Row],[Hisse]],Profits[Tarih],"=" &amp; "")</f>
        <v>0</v>
      </c>
      <c r="AD12" s="28">
        <f ca="1">SUMIFS(Profits[Toplam],Profits[Hisse],Varliklar[[#This Row],[Hisse]],Profits[Tarih],"&lt;=" &amp; TODAY())</f>
        <v>0</v>
      </c>
    </row>
    <row r="13" spans="1:30" x14ac:dyDescent="0.25">
      <c r="A13" t="s">
        <v>3</v>
      </c>
      <c r="B13" s="50">
        <v>100</v>
      </c>
      <c r="C13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3" s="6">
        <f>MIN(1,IFERROR(Varliklar[[#This Row],[Mevcut]]/Varliklar[[#This Row],[Hedef]],"0"))</f>
        <v>0</v>
      </c>
      <c r="E13" s="8">
        <f ca="1">IFERROR(ROUND(Varliklar[[#This Row],[Net Yatırılan]]/Varliklar[[#This Row],[Mevcut]],2),0)</f>
        <v>0</v>
      </c>
      <c r="F13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3" s="23">
        <f ca="1">Varliklar[[#This Row],[Yatırılan Para]]-Varliklar[[#This Row],[Alınan Temettü]]</f>
        <v>0</v>
      </c>
      <c r="H13" s="6">
        <f ca="1">IFERROR((Varliklar[[#This Row],[Değer]]-Varliklar[[#This Row],[Net Yatırılan]])/Varliklar[[#This Row],[Net Yatırılan]],0)</f>
        <v>0</v>
      </c>
      <c r="I13" s="27">
        <f ca="1">Varliklar[[#This Row],[Değer]]-Varliklar[[#This Row],[Net Yatırılan]]</f>
        <v>0</v>
      </c>
      <c r="J13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3" s="6">
        <f>IFERROR((Varliklar[[#This Row],[Güncel F.]]-Varliklar[[#This Row],[Reel Maliyet]])/Varliklar[[#This Row],[Reel Maliyet]], 0)</f>
        <v>0</v>
      </c>
      <c r="L13" s="27">
        <f>Varliklar[[#This Row],[Değer]]-SUMIFS(TradeHist[Reel Maliyet],TradeHist[Hisse],Varliklar[[#This Row],[Hisse]])+SUMIFS(TradeHistSell[Reel Maliyet],TradeHistSell[Hisse],Varliklar[[#This Row],[Hisse]])</f>
        <v>0</v>
      </c>
      <c r="M13" s="3">
        <f>ROUND(Varliklar[[#This Row],[Güncel F.]]*Varliklar[[#This Row],[Mevcut]],0)</f>
        <v>0</v>
      </c>
      <c r="N13" s="6" t="e">
        <f>Varliklar[[#This Row],[Değer]]/Varliklar[[#Totals],[Değer]]</f>
        <v>#DIV/0!</v>
      </c>
      <c r="O13" s="48">
        <v>8.08</v>
      </c>
      <c r="P13" s="3">
        <f>IFERROR(Varliklar[[#This Row],[Güncel F.]]*Varliklar[[#This Row],[Hedef]],"")</f>
        <v>808</v>
      </c>
      <c r="Q13" s="3">
        <f>IFERROR(Varliklar[[#This Row],[Hedef Tutar]]-Varliklar[[#This Row],[Değer]],"")</f>
        <v>808</v>
      </c>
      <c r="R13" s="1">
        <f>Varliklar[[#This Row],[Hedef Tutar]]/Varliklar[[#Totals],[Hedef Tutar]]</f>
        <v>1.2876498127967531E-2</v>
      </c>
      <c r="S13" s="2"/>
      <c r="T13" s="18" t="str">
        <f>Varliklar[[#This Row],[Hisse]]</f>
        <v>HEKTS</v>
      </c>
      <c r="U13" s="49" t="s">
        <v>80</v>
      </c>
      <c r="V13" s="45">
        <v>1</v>
      </c>
      <c r="W13" s="32">
        <f ca="1">IF(OR(Varliklar[[#This Row],[Hedef Yüzdesi]] =1, Varliklar[[#This Row],[Hedef]] =0), "",Varliklar[[#This Row],[Hedef Yüzdesi]] * 5 + Varliklar[[#This Row],[Kar%]])</f>
        <v>0</v>
      </c>
      <c r="X13" s="32">
        <f ca="1">IFERROR(_xlfn.RANK.AVG(Varliklar[[#This Row],[Ö]],Varliklar[Ö],1) / Varliklar[[#This Row],[Katsayı]],"")</f>
        <v>8.5</v>
      </c>
      <c r="Y13" s="30">
        <f ca="1">IF(Varliklar[[#This Row],[Açık]]="E",IFERROR(_xlfn.RANK.EQ(Varliklar[[#This Row],[Katsayılı Sır.]],Varliklar[Katsayılı Sır.],1),""),"")</f>
        <v>1</v>
      </c>
      <c r="Z13" s="33">
        <f ca="1">IF(Varliklar[[#This Row],[Sır.]]&gt;VALUE($T$19),"",((($T$19+1)-Varliklar[[#This Row],[Sır.]])/($T$19*($T$19+1)/2)*VALUE($Z$19)))</f>
        <v>10000</v>
      </c>
      <c r="AA13" s="31">
        <f ca="1">IFERROR(MIN(Varliklar[[#This Row],[Tutar]]/Varliklar[[#This Row],[Güncel F.]],Varliklar[[#This Row],[Hedef]]-Varliklar[[#This Row],[Mevcut]]),"")</f>
        <v>100</v>
      </c>
      <c r="AB13" s="24" t="str">
        <f>Varliklar[[#This Row],[Hisse]]</f>
        <v>HEKTS</v>
      </c>
      <c r="AC13" s="26">
        <f ca="1">SUMIFS(Profits[Toplam],Profits[Hisse],Varliklar[[#This Row],[Hisse]],Profits[Tarih],"&gt;" &amp; TODAY())+SUMIFS(Profits[Toplam],Profits[Hisse],Varliklar[[#This Row],[Hisse]],Profits[Tarih],"=" &amp; "")</f>
        <v>0</v>
      </c>
      <c r="AD13" s="28">
        <f ca="1">SUMIFS(Profits[Toplam],Profits[Hisse],Varliklar[[#This Row],[Hisse]],Profits[Tarih],"&lt;=" &amp; TODAY())</f>
        <v>0</v>
      </c>
    </row>
    <row r="14" spans="1:30" x14ac:dyDescent="0.25">
      <c r="A14" t="s">
        <v>42</v>
      </c>
      <c r="B14" s="50">
        <v>100</v>
      </c>
      <c r="C14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4" s="6">
        <f>MIN(1,IFERROR(Varliklar[[#This Row],[Mevcut]]/Varliklar[[#This Row],[Hedef]],"0"))</f>
        <v>0</v>
      </c>
      <c r="E14" s="8">
        <f ca="1">IFERROR(ROUND(Varliklar[[#This Row],[Net Yatırılan]]/Varliklar[[#This Row],[Mevcut]],2),0)</f>
        <v>0</v>
      </c>
      <c r="F14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4" s="23">
        <f ca="1">Varliklar[[#This Row],[Yatırılan Para]]-Varliklar[[#This Row],[Alınan Temettü]]</f>
        <v>0</v>
      </c>
      <c r="H14" s="6">
        <f ca="1">IFERROR((Varliklar[[#This Row],[Değer]]-Varliklar[[#This Row],[Net Yatırılan]])/Varliklar[[#This Row],[Net Yatırılan]],0)</f>
        <v>0</v>
      </c>
      <c r="I14" s="27">
        <f ca="1">Varliklar[[#This Row],[Değer]]-Varliklar[[#This Row],[Net Yatırılan]]</f>
        <v>0</v>
      </c>
      <c r="J14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4" s="6">
        <f>IFERROR((Varliklar[[#This Row],[Güncel F.]]-Varliklar[[#This Row],[Reel Maliyet]])/Varliklar[[#This Row],[Reel Maliyet]], 0)</f>
        <v>0</v>
      </c>
      <c r="L14" s="27">
        <f>Varliklar[[#This Row],[Değer]]-SUMIFS(TradeHist[Reel Maliyet],TradeHist[Hisse],Varliklar[[#This Row],[Hisse]])+SUMIFS(TradeHistSell[Reel Maliyet],TradeHistSell[Hisse],Varliklar[[#This Row],[Hisse]])</f>
        <v>0</v>
      </c>
      <c r="M14" s="3">
        <f>ROUND(Varliklar[[#This Row],[Güncel F.]]*Varliklar[[#This Row],[Mevcut]],0)</f>
        <v>0</v>
      </c>
      <c r="N14" s="6" t="e">
        <f>Varliklar[[#This Row],[Değer]]/Varliklar[[#Totals],[Değer]]</f>
        <v>#DIV/0!</v>
      </c>
      <c r="O14" s="48">
        <v>6.29</v>
      </c>
      <c r="P14" s="3">
        <f>IFERROR(Varliklar[[#This Row],[Güncel F.]]*Varliklar[[#This Row],[Hedef]],"")</f>
        <v>629</v>
      </c>
      <c r="Q14" s="3">
        <f>IFERROR(Varliklar[[#This Row],[Hedef Tutar]]-Varliklar[[#This Row],[Değer]],"")</f>
        <v>629</v>
      </c>
      <c r="R14" s="1">
        <f>Varliklar[[#This Row],[Hedef Tutar]]/Varliklar[[#Totals],[Hedef Tutar]]</f>
        <v>1.0023907577341061E-2</v>
      </c>
      <c r="S14" s="12">
        <v>43752</v>
      </c>
      <c r="T14" s="18" t="str">
        <f>Varliklar[[#This Row],[Hisse]]</f>
        <v>ISDMR</v>
      </c>
      <c r="U14" s="49" t="s">
        <v>80</v>
      </c>
      <c r="V14" s="45">
        <v>1</v>
      </c>
      <c r="W14" s="32">
        <f ca="1">IF(OR(Varliklar[[#This Row],[Hedef Yüzdesi]] =1, Varliklar[[#This Row],[Hedef]] =0), "",Varliklar[[#This Row],[Hedef Yüzdesi]] * 5 + Varliklar[[#This Row],[Kar%]])</f>
        <v>0</v>
      </c>
      <c r="X14" s="32">
        <f ca="1">IFERROR(_xlfn.RANK.AVG(Varliklar[[#This Row],[Ö]],Varliklar[Ö],1) / Varliklar[[#This Row],[Katsayı]],"")</f>
        <v>8.5</v>
      </c>
      <c r="Y14" s="30">
        <f ca="1">IF(Varliklar[[#This Row],[Açık]]="E",IFERROR(_xlfn.RANK.EQ(Varliklar[[#This Row],[Katsayılı Sır.]],Varliklar[Katsayılı Sır.],1),""),"")</f>
        <v>1</v>
      </c>
      <c r="Z14" s="33">
        <f ca="1">IF(Varliklar[[#This Row],[Sır.]]&gt;VALUE($T$19),"",((($T$19+1)-Varliklar[[#This Row],[Sır.]])/($T$19*($T$19+1)/2)*VALUE($Z$19)))</f>
        <v>10000</v>
      </c>
      <c r="AA14" s="31">
        <f ca="1">IFERROR(MIN(Varliklar[[#This Row],[Tutar]]/Varliklar[[#This Row],[Güncel F.]],Varliklar[[#This Row],[Hedef]]-Varliklar[[#This Row],[Mevcut]]),"")</f>
        <v>100</v>
      </c>
      <c r="AB14" s="24" t="str">
        <f>Varliklar[[#This Row],[Hisse]]</f>
        <v>ISDMR</v>
      </c>
      <c r="AC14" s="26">
        <f ca="1">SUMIFS(Profits[Toplam],Profits[Hisse],Varliklar[[#This Row],[Hisse]],Profits[Tarih],"&gt;" &amp; TODAY())+SUMIFS(Profits[Toplam],Profits[Hisse],Varliklar[[#This Row],[Hisse]],Profits[Tarih],"=" &amp; "")</f>
        <v>0</v>
      </c>
      <c r="AD14" s="28">
        <f ca="1">SUMIFS(Profits[Toplam],Profits[Hisse],Varliklar[[#This Row],[Hisse]],Profits[Tarih],"&lt;=" &amp; TODAY())</f>
        <v>0</v>
      </c>
    </row>
    <row r="15" spans="1:30" x14ac:dyDescent="0.25">
      <c r="A15" t="s">
        <v>2</v>
      </c>
      <c r="B15" s="50">
        <v>100</v>
      </c>
      <c r="C15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5" s="6">
        <f>MIN(1,IFERROR(Varliklar[[#This Row],[Mevcut]]/Varliklar[[#This Row],[Hedef]],"0"))</f>
        <v>0</v>
      </c>
      <c r="E15" s="8">
        <f ca="1">IFERROR(ROUND(Varliklar[[#This Row],[Net Yatırılan]]/Varliklar[[#This Row],[Mevcut]],2),0)</f>
        <v>0</v>
      </c>
      <c r="F15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5" s="23">
        <f ca="1">Varliklar[[#This Row],[Yatırılan Para]]-Varliklar[[#This Row],[Alınan Temettü]]</f>
        <v>0</v>
      </c>
      <c r="H15" s="6">
        <f ca="1">IFERROR((Varliklar[[#This Row],[Değer]]-Varliklar[[#This Row],[Net Yatırılan]])/Varliklar[[#This Row],[Net Yatırılan]],0)</f>
        <v>0</v>
      </c>
      <c r="I15" s="27">
        <f ca="1">Varliklar[[#This Row],[Değer]]-Varliklar[[#This Row],[Net Yatırılan]]</f>
        <v>0</v>
      </c>
      <c r="J15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5" s="6">
        <f>IFERROR((Varliklar[[#This Row],[Güncel F.]]-Varliklar[[#This Row],[Reel Maliyet]])/Varliklar[[#This Row],[Reel Maliyet]], 0)</f>
        <v>0</v>
      </c>
      <c r="L15" s="27">
        <f>Varliklar[[#This Row],[Değer]]-SUMIFS(TradeHist[Reel Maliyet],TradeHist[Hisse],Varliklar[[#This Row],[Hisse]])+SUMIFS(TradeHistSell[Reel Maliyet],TradeHistSell[Hisse],Varliklar[[#This Row],[Hisse]])</f>
        <v>0</v>
      </c>
      <c r="M15" s="3">
        <f>ROUND(Varliklar[[#This Row],[Güncel F.]]*Varliklar[[#This Row],[Mevcut]],0)</f>
        <v>0</v>
      </c>
      <c r="N15" s="6" t="e">
        <f>Varliklar[[#This Row],[Değer]]/Varliklar[[#Totals],[Değer]]</f>
        <v>#DIV/0!</v>
      </c>
      <c r="O15" s="48">
        <v>8.15</v>
      </c>
      <c r="P15" s="3">
        <f>IFERROR(Varliklar[[#This Row],[Güncel F.]]*Varliklar[[#This Row],[Hedef]],"")</f>
        <v>815</v>
      </c>
      <c r="Q15" s="3">
        <f>IFERROR(Varliklar[[#This Row],[Hedef Tutar]]-Varliklar[[#This Row],[Değer]],"")</f>
        <v>815</v>
      </c>
      <c r="R15" s="1">
        <f>Varliklar[[#This Row],[Hedef Tutar]]/Varliklar[[#Totals],[Hedef Tutar]]</f>
        <v>1.2988051948383091E-2</v>
      </c>
      <c r="S15" s="12">
        <v>43496</v>
      </c>
      <c r="T15" s="18" t="str">
        <f>Varliklar[[#This Row],[Hisse]]</f>
        <v>PETUN</v>
      </c>
      <c r="U15" s="49" t="s">
        <v>80</v>
      </c>
      <c r="V15" s="45">
        <v>0.6</v>
      </c>
      <c r="W15" s="32">
        <f ca="1">IF(OR(Varliklar[[#This Row],[Hedef Yüzdesi]] =1, Varliklar[[#This Row],[Hedef]] =0), "",Varliklar[[#This Row],[Hedef Yüzdesi]] * 5 + Varliklar[[#This Row],[Kar%]])</f>
        <v>0</v>
      </c>
      <c r="X15" s="32">
        <f ca="1">IFERROR(_xlfn.RANK.AVG(Varliklar[[#This Row],[Ö]],Varliklar[Ö],1) / Varliklar[[#This Row],[Katsayı]],"")</f>
        <v>14.166666666666668</v>
      </c>
      <c r="Y15" s="30">
        <f ca="1">IF(Varliklar[[#This Row],[Açık]]="E",IFERROR(_xlfn.RANK.EQ(Varliklar[[#This Row],[Katsayılı Sır.]],Varliklar[Katsayılı Sır.],1),""),"")</f>
        <v>9</v>
      </c>
      <c r="Z15" s="33" t="str">
        <f ca="1">IF(Varliklar[[#This Row],[Sır.]]&gt;VALUE($T$19),"",((($T$19+1)-Varliklar[[#This Row],[Sır.]])/($T$19*($T$19+1)/2)*VALUE($Z$19)))</f>
        <v/>
      </c>
      <c r="AA15" s="31" t="str">
        <f ca="1">IFERROR(MIN(Varliklar[[#This Row],[Tutar]]/Varliklar[[#This Row],[Güncel F.]],Varliklar[[#This Row],[Hedef]]-Varliklar[[#This Row],[Mevcut]]),"")</f>
        <v/>
      </c>
      <c r="AB15" s="24" t="str">
        <f>Varliklar[[#This Row],[Hisse]]</f>
        <v>PETUN</v>
      </c>
      <c r="AC15" s="26">
        <f ca="1">SUMIFS(Profits[Toplam],Profits[Hisse],Varliklar[[#This Row],[Hisse]],Profits[Tarih],"&gt;" &amp; TODAY())+SUMIFS(Profits[Toplam],Profits[Hisse],Varliklar[[#This Row],[Hisse]],Profits[Tarih],"=" &amp; "")</f>
        <v>0</v>
      </c>
      <c r="AD15" s="28">
        <f ca="1">SUMIFS(Profits[Toplam],Profits[Hisse],Varliklar[[#This Row],[Hisse]],Profits[Tarih],"&lt;=" &amp; TODAY())</f>
        <v>0</v>
      </c>
    </row>
    <row r="16" spans="1:30" x14ac:dyDescent="0.25">
      <c r="A16" t="s">
        <v>10</v>
      </c>
      <c r="B16" s="50">
        <v>100</v>
      </c>
      <c r="C16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6" s="6">
        <f>MIN(1,IFERROR(Varliklar[[#This Row],[Mevcut]]/Varliklar[[#This Row],[Hedef]],"0"))</f>
        <v>0</v>
      </c>
      <c r="E16" s="8">
        <f ca="1">IFERROR(ROUND(Varliklar[[#This Row],[Net Yatırılan]]/Varliklar[[#This Row],[Mevcut]],2),0)</f>
        <v>0</v>
      </c>
      <c r="F16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6" s="23">
        <f ca="1">Varliklar[[#This Row],[Yatırılan Para]]-Varliklar[[#This Row],[Alınan Temettü]]</f>
        <v>0</v>
      </c>
      <c r="H16" s="6">
        <f ca="1">IFERROR((Varliklar[[#This Row],[Değer]]-Varliklar[[#This Row],[Net Yatırılan]])/Varliklar[[#This Row],[Net Yatırılan]],0)</f>
        <v>0</v>
      </c>
      <c r="I16" s="27">
        <f ca="1">Varliklar[[#This Row],[Değer]]-Varliklar[[#This Row],[Net Yatırılan]]</f>
        <v>0</v>
      </c>
      <c r="J16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6" s="6">
        <f>IFERROR((Varliklar[[#This Row],[Güncel F.]]-Varliklar[[#This Row],[Reel Maliyet]])/Varliklar[[#This Row],[Reel Maliyet]], 0)</f>
        <v>0</v>
      </c>
      <c r="L16" s="27">
        <f>Varliklar[[#This Row],[Değer]]-SUMIFS(TradeHist[Reel Maliyet],TradeHist[Hisse],Varliklar[[#This Row],[Hisse]])+SUMIFS(TradeHistSell[Reel Maliyet],TradeHistSell[Hisse],Varliklar[[#This Row],[Hisse]])</f>
        <v>0</v>
      </c>
      <c r="M16" s="3">
        <f>ROUND(Varliklar[[#This Row],[Güncel F.]]*Varliklar[[#This Row],[Mevcut]],0)</f>
        <v>0</v>
      </c>
      <c r="N16" s="6" t="e">
        <f>Varliklar[[#This Row],[Değer]]/Varliklar[[#Totals],[Değer]]</f>
        <v>#DIV/0!</v>
      </c>
      <c r="O16" s="48">
        <v>4.4978999999999996</v>
      </c>
      <c r="P16" s="3">
        <f>IFERROR(Varliklar[[#This Row],[Güncel F.]]*Varliklar[[#This Row],[Hedef]],"")</f>
        <v>449.78999999999996</v>
      </c>
      <c r="Q16" s="3">
        <f>IFERROR(Varliklar[[#This Row],[Hedef Tutar]]-Varliklar[[#This Row],[Değer]],"")</f>
        <v>449.78999999999996</v>
      </c>
      <c r="R16" s="1">
        <f>Varliklar[[#This Row],[Hedef Tutar]]/Varliklar[[#Totals],[Hedef Tutar]]</f>
        <v>7.1679704121021225E-3</v>
      </c>
      <c r="S16" s="12">
        <v>43033</v>
      </c>
      <c r="T16" s="18" t="str">
        <f>Varliklar[[#This Row],[Hisse]]</f>
        <v>SODA</v>
      </c>
      <c r="U16" s="49" t="s">
        <v>80</v>
      </c>
      <c r="V16" s="45">
        <v>1</v>
      </c>
      <c r="W16" s="32">
        <f ca="1">IF(OR(Varliklar[[#This Row],[Hedef Yüzdesi]] =1, Varliklar[[#This Row],[Hedef]] =0), "",Varliklar[[#This Row],[Hedef Yüzdesi]] * 5 + Varliklar[[#This Row],[Kar%]])</f>
        <v>0</v>
      </c>
      <c r="X16" s="32">
        <f ca="1">IFERROR(_xlfn.RANK.AVG(Varliklar[[#This Row],[Ö]],Varliklar[Ö],1) / Varliklar[[#This Row],[Katsayı]],"")</f>
        <v>8.5</v>
      </c>
      <c r="Y16" s="30">
        <f ca="1">IF(Varliklar[[#This Row],[Açık]]="E",IFERROR(_xlfn.RANK.EQ(Varliklar[[#This Row],[Katsayılı Sır.]],Varliklar[Katsayılı Sır.],1),""),"")</f>
        <v>1</v>
      </c>
      <c r="Z16" s="33">
        <f ca="1">IF(Varliklar[[#This Row],[Sır.]]&gt;VALUE($T$19),"",((($T$19+1)-Varliklar[[#This Row],[Sır.]])/($T$19*($T$19+1)/2)*VALUE($Z$19)))</f>
        <v>10000</v>
      </c>
      <c r="AA16" s="31">
        <f ca="1">IFERROR(MIN(Varliklar[[#This Row],[Tutar]]/Varliklar[[#This Row],[Güncel F.]],Varliklar[[#This Row],[Hedef]]-Varliklar[[#This Row],[Mevcut]]),"")</f>
        <v>100</v>
      </c>
      <c r="AB16" s="24" t="str">
        <f>Varliklar[[#This Row],[Hisse]]</f>
        <v>SODA</v>
      </c>
      <c r="AC16" s="26">
        <f ca="1">SUMIFS(Profits[Toplam],Profits[Hisse],Varliklar[[#This Row],[Hisse]],Profits[Tarih],"&gt;" &amp; TODAY())+SUMIFS(Profits[Toplam],Profits[Hisse],Varliklar[[#This Row],[Hisse]],Profits[Tarih],"=" &amp; "")</f>
        <v>0</v>
      </c>
      <c r="AD16" s="28">
        <f ca="1">SUMIFS(Profits[Toplam],Profits[Hisse],Varliklar[[#This Row],[Hisse]],Profits[Tarih],"&lt;=" &amp; TODAY())</f>
        <v>0</v>
      </c>
    </row>
    <row r="17" spans="1:30" x14ac:dyDescent="0.25">
      <c r="A17" t="s">
        <v>41</v>
      </c>
      <c r="B17" s="50">
        <v>100</v>
      </c>
      <c r="C17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7" s="6">
        <f>MIN(1,IFERROR(Varliklar[[#This Row],[Mevcut]]/Varliklar[[#This Row],[Hedef]],"0"))</f>
        <v>0</v>
      </c>
      <c r="E17" s="8">
        <f ca="1">IFERROR(ROUND(Varliklar[[#This Row],[Net Yatırılan]]/Varliklar[[#This Row],[Mevcut]],2),0)</f>
        <v>0</v>
      </c>
      <c r="F17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7" s="23">
        <f ca="1">Varliklar[[#This Row],[Yatırılan Para]]-Varliklar[[#This Row],[Alınan Temettü]]</f>
        <v>0</v>
      </c>
      <c r="H17" s="6">
        <f ca="1">IFERROR((Varliklar[[#This Row],[Değer]]-Varliklar[[#This Row],[Net Yatırılan]])/Varliklar[[#This Row],[Net Yatırılan]],0)</f>
        <v>0</v>
      </c>
      <c r="I17" s="27">
        <f ca="1">Varliklar[[#This Row],[Değer]]-Varliklar[[#This Row],[Net Yatırılan]]</f>
        <v>0</v>
      </c>
      <c r="J17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7" s="6">
        <f>IFERROR((Varliklar[[#This Row],[Güncel F.]]-Varliklar[[#This Row],[Reel Maliyet]])/Varliklar[[#This Row],[Reel Maliyet]], 0)</f>
        <v>0</v>
      </c>
      <c r="L17" s="27">
        <f>Varliklar[[#This Row],[Değer]]-SUMIFS(TradeHist[Reel Maliyet],TradeHist[Hisse],Varliklar[[#This Row],[Hisse]])+SUMIFS(TradeHistSell[Reel Maliyet],TradeHistSell[Hisse],Varliklar[[#This Row],[Hisse]])</f>
        <v>0</v>
      </c>
      <c r="M17" s="3">
        <f>ROUND(Varliklar[[#This Row],[Güncel F.]]*Varliklar[[#This Row],[Mevcut]],0)</f>
        <v>0</v>
      </c>
      <c r="N17" s="6" t="e">
        <f>Varliklar[[#This Row],[Değer]]/Varliklar[[#Totals],[Değer]]</f>
        <v>#DIV/0!</v>
      </c>
      <c r="O17" s="48">
        <v>40.4</v>
      </c>
      <c r="P17" s="3">
        <f>IFERROR(Varliklar[[#This Row],[Güncel F.]]*Varliklar[[#This Row],[Hedef]],"")</f>
        <v>4040</v>
      </c>
      <c r="Q17" s="3">
        <f>IFERROR(Varliklar[[#This Row],[Hedef Tutar]]-Varliklar[[#This Row],[Değer]],"")</f>
        <v>4040</v>
      </c>
      <c r="R17" s="1">
        <f>Varliklar[[#This Row],[Hedef Tutar]]/Varliklar[[#Totals],[Hedef Tutar]]</f>
        <v>6.4382490639837656E-2</v>
      </c>
      <c r="S17" s="12">
        <v>43746</v>
      </c>
      <c r="T17" s="18" t="str">
        <f>Varliklar[[#This Row],[Hisse]]</f>
        <v>TTRAK</v>
      </c>
      <c r="U17" s="49" t="s">
        <v>80</v>
      </c>
      <c r="V17" s="45">
        <v>0.4</v>
      </c>
      <c r="W17" s="32">
        <f ca="1">IF(OR(Varliklar[[#This Row],[Hedef Yüzdesi]] =1, Varliklar[[#This Row],[Hedef]] =0), "",Varliklar[[#This Row],[Hedef Yüzdesi]] * 5 + Varliklar[[#This Row],[Kar%]])</f>
        <v>0</v>
      </c>
      <c r="X17" s="32">
        <f ca="1">IFERROR(_xlfn.RANK.AVG(Varliklar[[#This Row],[Ö]],Varliklar[Ö],1) / Varliklar[[#This Row],[Katsayı]],"")</f>
        <v>21.25</v>
      </c>
      <c r="Y17" s="30">
        <f ca="1">IF(Varliklar[[#This Row],[Açık]]="E",IFERROR(_xlfn.RANK.EQ(Varliklar[[#This Row],[Katsayılı Sır.]],Varliklar[Katsayılı Sır.],1),""),"")</f>
        <v>13</v>
      </c>
      <c r="Z17" s="33" t="str">
        <f ca="1">IF(Varliklar[[#This Row],[Sır.]]&gt;VALUE($T$19),"",((($T$19+1)-Varliklar[[#This Row],[Sır.]])/($T$19*($T$19+1)/2)*VALUE($Z$19)))</f>
        <v/>
      </c>
      <c r="AA17" s="31" t="str">
        <f ca="1">IFERROR(MIN(Varliklar[[#This Row],[Tutar]]/Varliklar[[#This Row],[Güncel F.]],Varliklar[[#This Row],[Hedef]]-Varliklar[[#This Row],[Mevcut]]),"")</f>
        <v/>
      </c>
      <c r="AB17" s="24" t="str">
        <f>Varliklar[[#This Row],[Hisse]]</f>
        <v>TTRAK</v>
      </c>
      <c r="AC17" s="26">
        <f ca="1">SUMIFS(Profits[Toplam],Profits[Hisse],Varliklar[[#This Row],[Hisse]],Profits[Tarih],"&gt;" &amp; TODAY())+SUMIFS(Profits[Toplam],Profits[Hisse],Varliklar[[#This Row],[Hisse]],Profits[Tarih],"=" &amp; "")</f>
        <v>0</v>
      </c>
      <c r="AD17" s="28">
        <f ca="1">SUMIFS(Profits[Toplam],Profits[Hisse],Varliklar[[#This Row],[Hisse]],Profits[Tarih],"&lt;=" &amp; TODAY())</f>
        <v>0</v>
      </c>
    </row>
    <row r="18" spans="1:30" x14ac:dyDescent="0.25">
      <c r="A18" t="s">
        <v>89</v>
      </c>
      <c r="B18" s="50">
        <v>100</v>
      </c>
      <c r="C18" s="2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8" s="6">
        <f>MIN(1,IFERROR(Varliklar[[#This Row],[Mevcut]]/Varliklar[[#This Row],[Hedef]],"0"))</f>
        <v>0</v>
      </c>
      <c r="E18" s="8">
        <f ca="1">IFERROR(ROUND(Varliklar[[#This Row],[Net Yatırılan]]/Varliklar[[#This Row],[Mevcut]],2),0)</f>
        <v>0</v>
      </c>
      <c r="F18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8" s="23">
        <f ca="1">Varliklar[[#This Row],[Yatırılan Para]]-Varliklar[[#This Row],[Alınan Temettü]]</f>
        <v>0</v>
      </c>
      <c r="H18" s="6">
        <f ca="1">IFERROR((Varliklar[[#This Row],[Değer]]-Varliklar[[#This Row],[Net Yatırılan]])/Varliklar[[#This Row],[Net Yatırılan]],0)</f>
        <v>0</v>
      </c>
      <c r="I18" s="27">
        <f ca="1">Varliklar[[#This Row],[Değer]]-Varliklar[[#This Row],[Net Yatırılan]]</f>
        <v>0</v>
      </c>
      <c r="J18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8" s="6">
        <f>IFERROR((Varliklar[[#This Row],[Güncel F.]]-Varliklar[[#This Row],[Reel Maliyet]])/Varliklar[[#This Row],[Reel Maliyet]], 0)</f>
        <v>0</v>
      </c>
      <c r="L18" s="27">
        <f>Varliklar[[#This Row],[Değer]]-SUMIFS(TradeHist[Reel Maliyet],TradeHist[Hisse],Varliklar[[#This Row],[Hisse]])+SUMIFS(TradeHistSell[Reel Maliyet],TradeHistSell[Hisse],Varliklar[[#This Row],[Hisse]])</f>
        <v>0</v>
      </c>
      <c r="M18" s="3">
        <f>ROUND(Varliklar[[#This Row],[Güncel F.]]*Varliklar[[#This Row],[Mevcut]],0)</f>
        <v>0</v>
      </c>
      <c r="N18" s="6" t="e">
        <f>Varliklar[[#This Row],[Değer]]/Varliklar[[#Totals],[Değer]]</f>
        <v>#DIV/0!</v>
      </c>
      <c r="O18" s="48">
        <v>68.75</v>
      </c>
      <c r="P18" s="3">
        <f>IFERROR(Varliklar[[#This Row],[Güncel F.]]*Varliklar[[#This Row],[Hedef]],"")</f>
        <v>6875</v>
      </c>
      <c r="Q18" s="3">
        <f>IFERROR(Varliklar[[#This Row],[Hedef Tutar]]-Varliklar[[#This Row],[Değer]],"")</f>
        <v>6875</v>
      </c>
      <c r="R18" s="1">
        <f>Varliklar[[#This Row],[Hedef Tutar]]/Varliklar[[#Totals],[Hedef Tutar]]</f>
        <v>0.10956178790813957</v>
      </c>
      <c r="S18" s="2"/>
      <c r="T18" s="18" t="str">
        <f>Varliklar[[#This Row],[Hisse]]</f>
        <v>TUPRS</v>
      </c>
      <c r="U18" s="49" t="s">
        <v>80</v>
      </c>
      <c r="V18" s="45">
        <v>0.7</v>
      </c>
      <c r="W18" s="32">
        <f ca="1">IF(OR(Varliklar[[#This Row],[Hedef Yüzdesi]] =1, Varliklar[[#This Row],[Hedef]] =0), "",Varliklar[[#This Row],[Hedef Yüzdesi]] * 5 + Varliklar[[#This Row],[Kar%]])</f>
        <v>0</v>
      </c>
      <c r="X18" s="32">
        <f ca="1">IFERROR(_xlfn.RANK.AVG(Varliklar[[#This Row],[Ö]],Varliklar[Ö],1) / Varliklar[[#This Row],[Katsayı]],"")</f>
        <v>12.142857142857144</v>
      </c>
      <c r="Y18" s="30">
        <f ca="1">IF(Varliklar[[#This Row],[Açık]]="E",IFERROR(_xlfn.RANK.EQ(Varliklar[[#This Row],[Katsayılı Sır.]],Varliklar[Katsayılı Sır.],1),""),"")</f>
        <v>8</v>
      </c>
      <c r="Z18" s="33" t="str">
        <f ca="1">IF(Varliklar[[#This Row],[Sır.]]&gt;VALUE($T$19),"",((($T$19+1)-Varliklar[[#This Row],[Sır.]])/($T$19*($T$19+1)/2)*VALUE($Z$19)))</f>
        <v/>
      </c>
      <c r="AA18" s="31" t="str">
        <f ca="1">IFERROR(MIN(Varliklar[[#This Row],[Tutar]]/Varliklar[[#This Row],[Güncel F.]],Varliklar[[#This Row],[Hedef]]-Varliklar[[#This Row],[Mevcut]]),"")</f>
        <v/>
      </c>
      <c r="AB18" s="24" t="str">
        <f>Varliklar[[#This Row],[Hisse]]</f>
        <v>TUPRS</v>
      </c>
      <c r="AC18" s="26">
        <f ca="1">SUMIFS(Profits[Toplam],Profits[Hisse],Varliklar[[#This Row],[Hisse]],Profits[Tarih],"&gt;" &amp; TODAY())+SUMIFS(Profits[Toplam],Profits[Hisse],Varliklar[[#This Row],[Hisse]],Profits[Tarih],"=" &amp; "")</f>
        <v>0</v>
      </c>
      <c r="AD18" s="28">
        <f ca="1">SUMIFS(Profits[Toplam],Profits[Hisse],Varliklar[[#This Row],[Hisse]],Profits[Tarih],"&lt;=" &amp; TODAY())</f>
        <v>0</v>
      </c>
    </row>
    <row r="19" spans="1:30" ht="15.75" thickBot="1" x14ac:dyDescent="0.3">
      <c r="B19">
        <f>SUBTOTAL(109,Varliklar[Hedef])</f>
        <v>1600</v>
      </c>
      <c r="C19">
        <f>SUBTOTAL(109,Varliklar[Mevcut])</f>
        <v>0</v>
      </c>
      <c r="D19" s="6">
        <f>Varliklar[[#Totals],[Değer]]/Varliklar[[#Totals],[Hedef Tutar]]</f>
        <v>0</v>
      </c>
      <c r="E19" s="6"/>
      <c r="F19" s="3">
        <f>SUBTOTAL(109,Varliklar[Yatırılan Para])</f>
        <v>0</v>
      </c>
      <c r="G19" s="3">
        <f ca="1">SUBTOTAL(109,Varliklar[Net Yatırılan])</f>
        <v>0</v>
      </c>
      <c r="H19" s="35" t="e">
        <f ca="1">(Varliklar[[#Totals],[Değer]]/Varliklar[[#Totals],[Net Yatırılan]])-1</f>
        <v>#DIV/0!</v>
      </c>
      <c r="I19" s="36">
        <f ca="1">Varliklar[[#Totals],[Değer]]-Varliklar[[#Totals],[Net Yatırılan]]</f>
        <v>0</v>
      </c>
      <c r="K19" s="87" t="e">
        <f ca="1">(Varliklar[[#Totals],[Değer]]/(SUM(TradeHist[Reel Maliyet])-Varliklar[[#Totals],[Alınan Temettü]]))-1</f>
        <v>#DIV/0!</v>
      </c>
      <c r="L19" s="88">
        <f ca="1">Varliklar[[#Totals],[Değer]]-SUM(TradeHist[Reel Maliyet])+Varliklar[[#Totals],[Alınan Temettü]]</f>
        <v>0</v>
      </c>
      <c r="M19" s="3">
        <f>SUBTOTAL(109,Varliklar[Değer])</f>
        <v>0</v>
      </c>
      <c r="N19" s="3"/>
      <c r="O19" s="52">
        <f>SUBTOTAL(101,Varliklar[Güncel F.])</f>
        <v>39.218737499999996</v>
      </c>
      <c r="P19" s="3">
        <f>SUBTOTAL(109,Varliklar[Hedef Tutar])</f>
        <v>62749.98</v>
      </c>
      <c r="Q19" s="3">
        <f>ROUND(SUBTOTAL(109,Varliklar[Eksik Tutar]),0)</f>
        <v>62750</v>
      </c>
      <c r="R19" s="3"/>
      <c r="T19" s="89" t="s">
        <v>68</v>
      </c>
      <c r="U19" s="89"/>
      <c r="V19" s="89"/>
      <c r="W19" s="90"/>
      <c r="X19" s="90"/>
      <c r="Y19" s="91"/>
      <c r="Z19" s="92">
        <f>IF(T20="",#REF!,T20)</f>
        <v>10000</v>
      </c>
      <c r="AA19" s="93"/>
      <c r="AB19" s="94"/>
      <c r="AC19" s="95">
        <f ca="1">SUBTOTAL(109,Varliklar[Gelecek Temettü])</f>
        <v>0</v>
      </c>
      <c r="AD19" s="96">
        <f ca="1">SUBTOTAL(109,Varliklar[Alınan Temettü])</f>
        <v>0</v>
      </c>
    </row>
    <row r="20" spans="1:30" ht="15.75" thickTop="1" x14ac:dyDescent="0.25">
      <c r="C20" s="12"/>
      <c r="G20" s="4"/>
      <c r="H20" s="4"/>
      <c r="I20" s="4"/>
      <c r="J20" s="4"/>
      <c r="K20" s="4"/>
      <c r="L20" s="4"/>
      <c r="T20" s="44">
        <v>10000</v>
      </c>
      <c r="U20"/>
    </row>
    <row r="21" spans="1:30" x14ac:dyDescent="0.25">
      <c r="C21" s="12"/>
      <c r="G21" s="4"/>
      <c r="H21" s="4"/>
      <c r="I21" s="4"/>
      <c r="J21" s="4"/>
      <c r="K21" s="4"/>
      <c r="L21" s="4"/>
      <c r="T21" s="12"/>
      <c r="U21" s="47"/>
      <c r="V21" s="12"/>
    </row>
    <row r="22" spans="1:30" x14ac:dyDescent="0.25">
      <c r="C22" s="37" t="s">
        <v>39</v>
      </c>
      <c r="H22" s="37"/>
      <c r="U22"/>
    </row>
    <row r="23" spans="1:30" x14ac:dyDescent="0.25">
      <c r="C23" s="12">
        <v>43911</v>
      </c>
      <c r="G23" s="5" t="s">
        <v>26</v>
      </c>
      <c r="H23" s="10">
        <f>R3+R6+R7</f>
        <v>2.538646227456965E-2</v>
      </c>
      <c r="I23" s="7" t="s">
        <v>48</v>
      </c>
      <c r="J23" s="11">
        <f>R3+R6+R11+R14+R13</f>
        <v>5.1155394790564079E-2</v>
      </c>
      <c r="L23" s="12"/>
      <c r="U23"/>
    </row>
    <row r="24" spans="1:30" x14ac:dyDescent="0.25">
      <c r="B24" s="16" t="s">
        <v>25</v>
      </c>
      <c r="C24" s="15" t="s">
        <v>32</v>
      </c>
      <c r="D24" s="16" t="s">
        <v>18</v>
      </c>
      <c r="E24" s="16" t="s">
        <v>33</v>
      </c>
      <c r="G24" s="5" t="s">
        <v>27</v>
      </c>
      <c r="H24" s="10">
        <f>R4+R16</f>
        <v>1.6007017054029338E-2</v>
      </c>
      <c r="I24" s="7" t="s">
        <v>46</v>
      </c>
      <c r="J24" s="10">
        <f>R5+R12+R17+R18</f>
        <v>0.25603163538856905</v>
      </c>
      <c r="L24" s="12"/>
      <c r="U24"/>
    </row>
    <row r="25" spans="1:30" x14ac:dyDescent="0.25">
      <c r="B25" s="14" t="s">
        <v>3</v>
      </c>
      <c r="C25" s="13">
        <v>10</v>
      </c>
      <c r="D25" s="13">
        <v>9</v>
      </c>
      <c r="E25" s="13">
        <f>C25*D25</f>
        <v>90</v>
      </c>
      <c r="G25" s="7" t="s">
        <v>30</v>
      </c>
      <c r="H25" s="11">
        <f>R11+R14</f>
        <v>2.2549807984002544E-2</v>
      </c>
      <c r="I25" s="29" t="s">
        <v>49</v>
      </c>
      <c r="J25" s="10">
        <f>R16</f>
        <v>7.1679704121021225E-3</v>
      </c>
      <c r="L25" s="12"/>
      <c r="U25"/>
    </row>
    <row r="26" spans="1:30" x14ac:dyDescent="0.25">
      <c r="G26" s="9" t="s">
        <v>28</v>
      </c>
      <c r="H26" s="11">
        <f>R12+R9</f>
        <v>0.70848691903965544</v>
      </c>
      <c r="I26" s="7" t="s">
        <v>47</v>
      </c>
      <c r="J26" s="10">
        <f>R7+R10</f>
        <v>1.9505982312663685E-2</v>
      </c>
      <c r="L26" s="12"/>
      <c r="U26"/>
    </row>
    <row r="27" spans="1:30" x14ac:dyDescent="0.25">
      <c r="G27" s="5" t="s">
        <v>29</v>
      </c>
      <c r="H27" s="10">
        <f>R13+R17</f>
        <v>7.7258988767805181E-2</v>
      </c>
      <c r="L27" s="12"/>
      <c r="U27"/>
    </row>
    <row r="28" spans="1:30" x14ac:dyDescent="0.25">
      <c r="G28" s="5" t="s">
        <v>29</v>
      </c>
      <c r="H28" s="10">
        <f>R18</f>
        <v>0.10956178790813957</v>
      </c>
      <c r="I28" s="7" t="s">
        <v>4</v>
      </c>
      <c r="J28" s="10">
        <f>R4</f>
        <v>8.839046641927216E-3</v>
      </c>
      <c r="K28" s="12"/>
      <c r="U28"/>
    </row>
    <row r="29" spans="1:30" x14ac:dyDescent="0.25">
      <c r="I29" s="7" t="s">
        <v>7</v>
      </c>
      <c r="J29" s="10">
        <f>R9</f>
        <v>0.63906888894625935</v>
      </c>
      <c r="K29" s="12"/>
      <c r="U29"/>
    </row>
    <row r="30" spans="1:30" x14ac:dyDescent="0.25">
      <c r="U30"/>
    </row>
    <row r="31" spans="1:30" x14ac:dyDescent="0.25">
      <c r="G31" s="12"/>
      <c r="U31"/>
    </row>
    <row r="32" spans="1:30" x14ac:dyDescent="0.25">
      <c r="H32" s="2"/>
      <c r="U32"/>
    </row>
    <row r="33" spans="6:21" x14ac:dyDescent="0.25">
      <c r="I33" s="23"/>
      <c r="N33" s="22"/>
      <c r="U33"/>
    </row>
    <row r="34" spans="6:21" x14ac:dyDescent="0.25">
      <c r="U34"/>
    </row>
    <row r="35" spans="6:21" x14ac:dyDescent="0.25">
      <c r="U35"/>
    </row>
    <row r="36" spans="6:21" x14ac:dyDescent="0.25">
      <c r="U36"/>
    </row>
    <row r="37" spans="6:21" x14ac:dyDescent="0.25">
      <c r="U37"/>
    </row>
    <row r="38" spans="6:21" x14ac:dyDescent="0.25">
      <c r="F38" s="8"/>
      <c r="U38"/>
    </row>
    <row r="39" spans="6:21" x14ac:dyDescent="0.25">
      <c r="U39"/>
    </row>
    <row r="40" spans="6:21" x14ac:dyDescent="0.25">
      <c r="U40"/>
    </row>
    <row r="41" spans="6:21" x14ac:dyDescent="0.25">
      <c r="U41"/>
    </row>
    <row r="42" spans="6:21" x14ac:dyDescent="0.25">
      <c r="U42"/>
    </row>
    <row r="43" spans="6:21" x14ac:dyDescent="0.25">
      <c r="U43"/>
    </row>
    <row r="44" spans="6:21" x14ac:dyDescent="0.25">
      <c r="U44"/>
    </row>
    <row r="45" spans="6:21" x14ac:dyDescent="0.25">
      <c r="U45"/>
    </row>
    <row r="46" spans="6:21" x14ac:dyDescent="0.25">
      <c r="U46"/>
    </row>
    <row r="47" spans="6:21" x14ac:dyDescent="0.25">
      <c r="U47"/>
    </row>
    <row r="48" spans="6:21" x14ac:dyDescent="0.25">
      <c r="U48"/>
    </row>
    <row r="49" spans="13:21" x14ac:dyDescent="0.25">
      <c r="U49"/>
    </row>
    <row r="50" spans="13:21" x14ac:dyDescent="0.25">
      <c r="U50"/>
    </row>
    <row r="51" spans="13:21" x14ac:dyDescent="0.25">
      <c r="U51"/>
    </row>
    <row r="52" spans="13:21" x14ac:dyDescent="0.25">
      <c r="U52"/>
    </row>
    <row r="53" spans="13:21" x14ac:dyDescent="0.25">
      <c r="U53"/>
    </row>
    <row r="54" spans="13:21" x14ac:dyDescent="0.25">
      <c r="U54"/>
    </row>
    <row r="55" spans="13:21" x14ac:dyDescent="0.25">
      <c r="P55" s="37"/>
      <c r="U55"/>
    </row>
    <row r="56" spans="13:21" x14ac:dyDescent="0.25">
      <c r="M56" s="3"/>
    </row>
    <row r="57" spans="13:21" x14ac:dyDescent="0.25">
      <c r="M57" s="3"/>
    </row>
    <row r="58" spans="13:21" x14ac:dyDescent="0.25">
      <c r="M58" s="3"/>
    </row>
    <row r="59" spans="13:21" x14ac:dyDescent="0.25">
      <c r="M59" s="3"/>
    </row>
    <row r="60" spans="13:21" x14ac:dyDescent="0.25">
      <c r="M60" s="3"/>
    </row>
    <row r="61" spans="13:21" x14ac:dyDescent="0.25">
      <c r="M61" s="3"/>
    </row>
    <row r="62" spans="13:21" x14ac:dyDescent="0.25">
      <c r="M62" s="3"/>
    </row>
    <row r="63" spans="13:21" x14ac:dyDescent="0.25">
      <c r="M63" s="3"/>
    </row>
    <row r="64" spans="13:21" x14ac:dyDescent="0.25">
      <c r="M64" s="3"/>
    </row>
    <row r="65" spans="13:13" x14ac:dyDescent="0.25">
      <c r="M65" s="3"/>
    </row>
    <row r="66" spans="13:13" x14ac:dyDescent="0.25">
      <c r="M66" s="3"/>
    </row>
  </sheetData>
  <dataConsolidate/>
  <mergeCells count="3">
    <mergeCell ref="A1:S1"/>
    <mergeCell ref="AB1:AD1"/>
    <mergeCell ref="T1:AA1"/>
  </mergeCells>
  <conditionalFormatting sqref="D19:E19 D3:D18">
    <cfRule type="dataBar" priority="2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{96CFFDB3-5E73-47DE-B075-F5BCDDE70608}</x14:id>
        </ext>
      </extLst>
    </cfRule>
  </conditionalFormatting>
  <conditionalFormatting sqref="Y3:Y18">
    <cfRule type="colorScale" priority="5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C3:AD18">
    <cfRule type="expression" dxfId="124" priority="236">
      <formula>#REF!=""</formula>
    </cfRule>
    <cfRule type="expression" dxfId="123" priority="237">
      <formula>#REF!=#REF!</formula>
    </cfRule>
  </conditionalFormatting>
  <conditionalFormatting sqref="AC3:AD18">
    <cfRule type="cellIs" dxfId="122" priority="35" operator="equal">
      <formula>0</formula>
    </cfRule>
  </conditionalFormatting>
  <conditionalFormatting sqref="V3:AA18">
    <cfRule type="expression" dxfId="121" priority="239">
      <formula>$Z3=""</formula>
    </cfRule>
  </conditionalFormatting>
  <conditionalFormatting sqref="H3:I18">
    <cfRule type="cellIs" dxfId="120" priority="33" operator="lessThan">
      <formula>0</formula>
    </cfRule>
    <cfRule type="cellIs" dxfId="119" priority="34" operator="greaterThan">
      <formula>0</formula>
    </cfRule>
  </conditionalFormatting>
  <conditionalFormatting sqref="H19">
    <cfRule type="cellIs" dxfId="118" priority="31" operator="lessThan">
      <formula>0</formula>
    </cfRule>
    <cfRule type="cellIs" dxfId="117" priority="32" operator="greaterThan">
      <formula>0</formula>
    </cfRule>
  </conditionalFormatting>
  <conditionalFormatting sqref="I19">
    <cfRule type="cellIs" dxfId="116" priority="29" operator="lessThan">
      <formula>0</formula>
    </cfRule>
    <cfRule type="cellIs" dxfId="115" priority="30" operator="greaterThan">
      <formula>0</formula>
    </cfRule>
  </conditionalFormatting>
  <conditionalFormatting sqref="K3:L18">
    <cfRule type="cellIs" dxfId="114" priority="25" operator="lessThan">
      <formula>0</formula>
    </cfRule>
    <cfRule type="cellIs" dxfId="113" priority="26" operator="greaterThan">
      <formula>0</formula>
    </cfRule>
  </conditionalFormatting>
  <conditionalFormatting sqref="K19">
    <cfRule type="cellIs" dxfId="112" priority="23" operator="lessThan">
      <formula>0</formula>
    </cfRule>
    <cfRule type="cellIs" dxfId="111" priority="24" operator="greaterThan">
      <formula>0</formula>
    </cfRule>
  </conditionalFormatting>
  <conditionalFormatting sqref="L19">
    <cfRule type="cellIs" dxfId="110" priority="21" operator="lessThan">
      <formula>0</formula>
    </cfRule>
    <cfRule type="cellIs" dxfId="109" priority="22" operator="greaterThan">
      <formula>0</formula>
    </cfRule>
  </conditionalFormatting>
  <conditionalFormatting sqref="U3:U18">
    <cfRule type="expression" dxfId="108" priority="14">
      <formula>$Z3=""</formula>
    </cfRule>
  </conditionalFormatting>
  <conditionalFormatting sqref="A3:A18">
    <cfRule type="expression" dxfId="107" priority="6">
      <formula>C3&gt;B3</formula>
    </cfRule>
    <cfRule type="expression" dxfId="106" priority="10">
      <formula>AND(B3=0,C3=0)</formula>
    </cfRule>
    <cfRule type="expression" dxfId="105" priority="11">
      <formula>AND(B3&gt;0,C3=B3)</formula>
    </cfRule>
  </conditionalFormatting>
  <dataValidations count="1">
    <dataValidation type="list" allowBlank="1" showInputMessage="1" showErrorMessage="1" sqref="B25" xr:uid="{00000000-0002-0000-0000-000000000000}">
      <formula1>$A$3:$A$18</formula1>
    </dataValidation>
  </dataValidations>
  <pageMargins left="0.7" right="0.7" top="0.75" bottom="0.75" header="0.3" footer="0.3"/>
  <pageSetup paperSize="9" orientation="portrait" r:id="rId1"/>
  <headerFooter>
    <oddFooter>&amp;C&amp;"Arial,Regular"&amp;10&amp;K00FF00Public</oddFooter>
    <evenFooter>&amp;C&amp;"Arial,Regular"&amp;10&amp;K00FF00Public</evenFooter>
    <firstFooter>&amp;C&amp;"Arial,Regular"&amp;10&amp;K00FF00Public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btnUpdateEntityPrices">
                <anchor moveWithCells="1" sizeWithCells="1">
                  <from>
                    <xdr:col>14</xdr:col>
                    <xdr:colOff>9525</xdr:colOff>
                    <xdr:row>19</xdr:row>
                    <xdr:rowOff>47625</xdr:rowOff>
                  </from>
                  <to>
                    <xdr:col>15</xdr:col>
                    <xdr:colOff>0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" name="Button 29">
              <controlPr defaultSize="0" print="0" autoFill="0" autoPict="0" macro="[0]!btnAddNewBuyPosition">
                <anchor moveWithCells="1" sizeWithCells="1">
                  <from>
                    <xdr:col>1</xdr:col>
                    <xdr:colOff>0</xdr:colOff>
                    <xdr:row>25</xdr:row>
                    <xdr:rowOff>19050</xdr:rowOff>
                  </from>
                  <to>
                    <xdr:col>4</xdr:col>
                    <xdr:colOff>9525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6" name="Button 93">
              <controlPr defaultSize="0" print="0" autoFill="0" autoPict="0" macro="[0]!btnNextDay">
                <anchor moveWithCells="1" sizeWithCells="1">
                  <from>
                    <xdr:col>3</xdr:col>
                    <xdr:colOff>9525</xdr:colOff>
                    <xdr:row>21</xdr:row>
                    <xdr:rowOff>180975</xdr:rowOff>
                  </from>
                  <to>
                    <xdr:col>3</xdr:col>
                    <xdr:colOff>209550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" name="Button 94">
              <controlPr defaultSize="0" print="0" autoFill="0" autoPict="0" macro="[0]!btnPrevDay">
                <anchor moveWithCells="1" sizeWithCells="1">
                  <from>
                    <xdr:col>1</xdr:col>
                    <xdr:colOff>228600</xdr:colOff>
                    <xdr:row>21</xdr:row>
                    <xdr:rowOff>180975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8" name="Button 98">
              <controlPr defaultSize="0" print="0" autoFill="0" autoPict="0" macro="[0]!btnDeleteLastBuyPosition">
                <anchor moveWithCells="1" siz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Button 103">
              <controlPr defaultSize="0" print="0" autoFill="0" autoPict="0" macro="[0]!btnFillAddData">
                <anchor moveWithCells="1" sizeWithCells="1">
                  <from>
                    <xdr:col>1</xdr:col>
                    <xdr:colOff>0</xdr:colOff>
                    <xdr:row>28</xdr:row>
                    <xdr:rowOff>180975</xdr:rowOff>
                  </from>
                  <to>
                    <xdr:col>5</xdr:col>
                    <xdr:colOff>0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" name="Button 109">
              <controlPr defaultSize="0" print="0" autoFill="0" autoPict="0" macro="[0]!btnAddNewSellPosition">
                <anchor moveWithCells="1" sizeWithCells="1">
                  <from>
                    <xdr:col>1</xdr:col>
                    <xdr:colOff>0</xdr:colOff>
                    <xdr:row>26</xdr:row>
                    <xdr:rowOff>104775</xdr:rowOff>
                  </from>
                  <to>
                    <xdr:col>4</xdr:col>
                    <xdr:colOff>9525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" name="Button 110">
              <controlPr defaultSize="0" print="0" autoFill="0" autoPict="0" macro="[0]!btnDeleteLastSellPosition">
                <anchor moveWithCells="1" sizeWithCells="1">
                  <from>
                    <xdr:col>4</xdr:col>
                    <xdr:colOff>19050</xdr:colOff>
                    <xdr:row>26</xdr:row>
                    <xdr:rowOff>104775</xdr:rowOff>
                  </from>
                  <to>
                    <xdr:col>5</xdr:col>
                    <xdr:colOff>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2" name="Button 111">
              <controlPr defaultSize="0" print="0" autoFill="0" autoPict="0" macro="[0]!btnUpdateEntityPricesWithDate">
                <anchor moveWithCells="1" sizeWithCells="1">
                  <from>
                    <xdr:col>14</xdr:col>
                    <xdr:colOff>9525</xdr:colOff>
                    <xdr:row>22</xdr:row>
                    <xdr:rowOff>47625</xdr:rowOff>
                  </from>
                  <to>
                    <xdr:col>15</xdr:col>
                    <xdr:colOff>0</xdr:colOff>
                    <xdr:row>23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6CFFDB3-5E73-47DE-B075-F5BCDDE706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D19:E19 D3:D18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4">
    <pageSetUpPr autoPageBreaks="0"/>
  </sheetPr>
  <dimension ref="A1:I2"/>
  <sheetViews>
    <sheetView zoomScale="80" zoomScaleNormal="80" workbookViewId="0">
      <selection activeCell="A2" sqref="A2:E2"/>
    </sheetView>
  </sheetViews>
  <sheetFormatPr defaultRowHeight="15" x14ac:dyDescent="0.25"/>
  <cols>
    <col min="1" max="1" width="10.85546875" bestFit="1" customWidth="1"/>
    <col min="2" max="2" width="8.85546875" bestFit="1" customWidth="1"/>
    <col min="3" max="3" width="8.140625" bestFit="1" customWidth="1"/>
    <col min="4" max="4" width="13.7109375" style="8" bestFit="1" customWidth="1"/>
    <col min="5" max="5" width="18.7109375" style="8" bestFit="1" customWidth="1"/>
    <col min="6" max="6" width="15.85546875" style="8" bestFit="1" customWidth="1"/>
    <col min="7" max="7" width="15.28515625" style="8" bestFit="1" customWidth="1"/>
  </cols>
  <sheetData>
    <row r="1" spans="1:9" x14ac:dyDescent="0.25">
      <c r="A1" t="s">
        <v>39</v>
      </c>
      <c r="B1" t="s">
        <v>25</v>
      </c>
      <c r="C1" t="s">
        <v>32</v>
      </c>
      <c r="D1" s="8" t="s">
        <v>43</v>
      </c>
      <c r="E1" s="8" t="s">
        <v>44</v>
      </c>
      <c r="F1" s="8" t="s">
        <v>45</v>
      </c>
      <c r="G1" s="8" t="s">
        <v>51</v>
      </c>
      <c r="H1" t="s">
        <v>86</v>
      </c>
      <c r="I1" s="34" t="s">
        <v>87</v>
      </c>
    </row>
    <row r="2" spans="1:9" x14ac:dyDescent="0.25">
      <c r="A2" s="12"/>
      <c r="F2" s="8">
        <f>TradeHist[[#This Row],[Adet]]*TradeHist[[#This Row],[Alım Fiyatı]]+TradeHist[[#This Row],[Komisyon Tutarı]]</f>
        <v>0</v>
      </c>
      <c r="G2" s="8">
        <f>TradeHist[[#This Row],[Toplam Tutar]]*POWER(Enflasyon,(Tarih_Degiskeni-TradeHist[[#This Row],[Tarih]])/365)</f>
        <v>0</v>
      </c>
      <c r="H2" s="8"/>
      <c r="I2" s="8"/>
    </row>
  </sheetData>
  <dataConsolidate/>
  <pageMargins left="0.7" right="0.7" top="0.75" bottom="0.75" header="0.3" footer="0.3"/>
  <pageSetup paperSize="9" orientation="portrait" r:id="rId1"/>
  <headerFooter>
    <oddFooter>&amp;C&amp;"Arial,Regular"&amp;10&amp;K00FF00Public</oddFooter>
    <evenFooter>&amp;C&amp;"Arial,Regular"&amp;10&amp;K00FF00Public</evenFooter>
    <firstFooter>&amp;C&amp;"Arial,Regular"&amp;10&amp;K00FF00Public</first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6">
    <pageSetUpPr autoPageBreaks="0"/>
  </sheetPr>
  <dimension ref="A1:I2"/>
  <sheetViews>
    <sheetView zoomScale="80" zoomScaleNormal="80" workbookViewId="0">
      <selection activeCell="H2" sqref="H2:I2"/>
    </sheetView>
  </sheetViews>
  <sheetFormatPr defaultRowHeight="15" x14ac:dyDescent="0.25"/>
  <cols>
    <col min="1" max="1" width="10.85546875" bestFit="1" customWidth="1"/>
    <col min="2" max="2" width="8.85546875" bestFit="1" customWidth="1"/>
    <col min="3" max="3" width="8.140625" bestFit="1" customWidth="1"/>
    <col min="4" max="4" width="13.7109375" style="8" bestFit="1" customWidth="1"/>
    <col min="5" max="5" width="18.7109375" style="8" bestFit="1" customWidth="1"/>
    <col min="6" max="6" width="15.85546875" style="8" bestFit="1" customWidth="1"/>
    <col min="7" max="7" width="15.28515625" style="8" bestFit="1" customWidth="1"/>
    <col min="9" max="9" width="12.28515625" bestFit="1" customWidth="1"/>
  </cols>
  <sheetData>
    <row r="1" spans="1:9" x14ac:dyDescent="0.25">
      <c r="A1" t="s">
        <v>39</v>
      </c>
      <c r="B1" t="s">
        <v>25</v>
      </c>
      <c r="C1" t="s">
        <v>32</v>
      </c>
      <c r="D1" s="8" t="s">
        <v>88</v>
      </c>
      <c r="E1" s="8" t="s">
        <v>44</v>
      </c>
      <c r="F1" s="8" t="s">
        <v>45</v>
      </c>
      <c r="G1" s="8" t="s">
        <v>51</v>
      </c>
      <c r="H1" t="s">
        <v>86</v>
      </c>
      <c r="I1" s="34" t="s">
        <v>87</v>
      </c>
    </row>
    <row r="2" spans="1:9" x14ac:dyDescent="0.25">
      <c r="A2" s="12"/>
      <c r="F2" s="8">
        <f>TradeHistSell[[#This Row],[Adet]]*TradeHistSell[[#This Row],[Satım Fiyatı]]-TradeHistSell[[#This Row],[Komisyon Tutarı]]</f>
        <v>0</v>
      </c>
      <c r="G2" s="8">
        <f>TradeHistSell[[#This Row],[Toplam Tutar]]*POWER(Enflasyon,(Tarih_Degiskeni-TradeHistSell[[#This Row],[Tarih]])/365)</f>
        <v>0</v>
      </c>
      <c r="H2" s="8"/>
      <c r="I2" s="8"/>
    </row>
  </sheetData>
  <dataConsolidate/>
  <pageMargins left="0.7" right="0.7" top="0.75" bottom="0.75" header="0.3" footer="0.3"/>
  <pageSetup paperSize="9" orientation="portrait" r:id="rId1"/>
  <headerFooter>
    <oddFooter>&amp;C&amp;"Arial,Regular"&amp;10&amp;K00FF00Public</oddFooter>
    <evenFooter>&amp;C&amp;"Arial,Regular"&amp;10&amp;K00FF00Public</evenFooter>
    <firstFooter>&amp;C&amp;"Arial,Regular"&amp;10&amp;K00FF00Public</first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5">
    <pageSetUpPr autoPageBreaks="0"/>
  </sheetPr>
  <dimension ref="A1:L21"/>
  <sheetViews>
    <sheetView zoomScale="80" zoomScaleNormal="80" workbookViewId="0">
      <selection activeCell="G2" sqref="G2"/>
    </sheetView>
  </sheetViews>
  <sheetFormatPr defaultRowHeight="15" x14ac:dyDescent="0.25"/>
  <cols>
    <col min="1" max="1" width="10.85546875" bestFit="1" customWidth="1"/>
    <col min="2" max="3" width="12.42578125" bestFit="1" customWidth="1"/>
    <col min="4" max="4" width="8.7109375" bestFit="1" customWidth="1"/>
    <col min="5" max="6" width="8.85546875" bestFit="1" customWidth="1"/>
    <col min="7" max="7" width="7.7109375" bestFit="1" customWidth="1"/>
    <col min="8" max="8" width="9.85546875" bestFit="1" customWidth="1"/>
    <col min="9" max="9" width="14.28515625" bestFit="1" customWidth="1"/>
    <col min="10" max="10" width="12.42578125" bestFit="1" customWidth="1"/>
    <col min="11" max="11" width="17" bestFit="1" customWidth="1"/>
    <col min="12" max="12" width="10.85546875" style="12" bestFit="1" customWidth="1"/>
    <col min="14" max="14" width="10.140625" bestFit="1" customWidth="1"/>
  </cols>
  <sheetData>
    <row r="1" spans="1:12" x14ac:dyDescent="0.25">
      <c r="A1" s="37" t="s">
        <v>39</v>
      </c>
      <c r="B1" s="37" t="s">
        <v>25</v>
      </c>
      <c r="C1" s="37" t="s">
        <v>55</v>
      </c>
      <c r="D1" s="37" t="s">
        <v>53</v>
      </c>
      <c r="E1" s="37" t="s">
        <v>67</v>
      </c>
      <c r="F1" s="37" t="s">
        <v>56</v>
      </c>
      <c r="G1" s="37" t="s">
        <v>64</v>
      </c>
      <c r="H1" s="37" t="s">
        <v>65</v>
      </c>
      <c r="I1" s="37" t="s">
        <v>57</v>
      </c>
      <c r="J1" s="37" t="s">
        <v>15</v>
      </c>
      <c r="K1" s="37" t="s">
        <v>58</v>
      </c>
      <c r="L1" s="47" t="s">
        <v>69</v>
      </c>
    </row>
    <row r="2" spans="1:12" x14ac:dyDescent="0.25">
      <c r="A2" s="12"/>
      <c r="C2" s="8"/>
      <c r="D2" s="39">
        <f>Temettü_Net*Profits[[#This Row],[Brüt]]</f>
        <v>0</v>
      </c>
      <c r="E2" s="39"/>
      <c r="F2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2" s="22"/>
      <c r="H2" s="8"/>
      <c r="I2" s="40">
        <f ca="1">ROUND(Profits[[#This Row],[Lot]]*IF(Profits[[#This Row],[Özel Net]] &lt;&gt; "",Profits[[#This Row],[Özel Net]],Profits[[#This Row],[Net]])*Temettü_Komisyonu,2)+Profits[[#This Row],[Düzeltme]]</f>
        <v>0</v>
      </c>
      <c r="J2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Row],[Tarih]]))-SUMIFS(Profits[Toplam],Profits[Hisse],Profits[[#This Row],[Hisse]],Profits[Tarih],"&lt;" &amp;IF(Profits[[#This Row],[Tarih]]="",TODAY(),Profits[[#This Row],[Tarih]]))</f>
        <v>0</v>
      </c>
      <c r="K2" s="6" t="str">
        <f ca="1">IFERROR(Profits[[#This Row],[Toplam]]/Profits[[#This Row],[Maliyet]],"")</f>
        <v/>
      </c>
      <c r="L2" s="46">
        <f>YEAR(Profits[[#This Row],[Tarih]])</f>
        <v>1900</v>
      </c>
    </row>
    <row r="3" spans="1:12" x14ac:dyDescent="0.25">
      <c r="A3" s="12"/>
      <c r="C3" s="8"/>
      <c r="D3" s="39">
        <f>Temettü_Net*Profits[[#This Row],[Brüt]]</f>
        <v>0</v>
      </c>
      <c r="E3" s="39"/>
      <c r="F3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3" s="22"/>
      <c r="H3" s="22"/>
      <c r="I3" s="40">
        <f ca="1">ROUND(Profits[[#This Row],[Lot]]*IF(Profits[[#This Row],[Özel Net]] &lt;&gt; "",Profits[[#This Row],[Özel Net]],Profits[[#This Row],[Net]])*Temettü_Komisyonu,2)+Profits[[#This Row],[Düzeltme]]</f>
        <v>0</v>
      </c>
      <c r="J3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Row],[Tarih]]))-SUMIFS(Profits[Toplam],Profits[Hisse],Profits[[#This Row],[Hisse]],Profits[Tarih],"&lt;" &amp;IF(Profits[[#This Row],[Tarih]]="",TODAY(),Profits[[#This Row],[Tarih]]))</f>
        <v>0</v>
      </c>
      <c r="K3" s="6" t="str">
        <f ca="1">IFERROR(Profits[[#This Row],[Toplam]]/Profits[[#This Row],[Maliyet]],"")</f>
        <v/>
      </c>
      <c r="L3" s="46">
        <f>YEAR(Profits[[#This Row],[Tarih]])</f>
        <v>1900</v>
      </c>
    </row>
    <row r="4" spans="1:12" x14ac:dyDescent="0.25">
      <c r="A4" s="12"/>
      <c r="C4" s="8"/>
      <c r="D4" s="39">
        <f>Temettü_Net*Profits[[#This Row],[Brüt]]</f>
        <v>0</v>
      </c>
      <c r="E4" s="39"/>
      <c r="F4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4" s="22"/>
      <c r="H4" s="22"/>
      <c r="I4" s="40">
        <f ca="1">ROUND(Profits[[#This Row],[Lot]]*IF(Profits[[#This Row],[Özel Net]] &lt;&gt; "",Profits[[#This Row],[Özel Net]],Profits[[#This Row],[Net]])*Temettü_Komisyonu,2)+Profits[[#This Row],[Düzeltme]]</f>
        <v>0</v>
      </c>
      <c r="J4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Row],[Tarih]]))-SUMIFS(Profits[Toplam],Profits[Hisse],Profits[[#This Row],[Hisse]],Profits[Tarih],"&lt;" &amp;IF(Profits[[#This Row],[Tarih]]="",TODAY(),Profits[[#This Row],[Tarih]]))</f>
        <v>0</v>
      </c>
      <c r="K4" s="6" t="str">
        <f ca="1">IFERROR(Profits[[#This Row],[Toplam]]/Profits[[#This Row],[Maliyet]],"")</f>
        <v/>
      </c>
      <c r="L4" s="46">
        <f>YEAR(Profits[[#This Row],[Tarih]])</f>
        <v>1900</v>
      </c>
    </row>
    <row r="5" spans="1:12" x14ac:dyDescent="0.25">
      <c r="A5" s="12"/>
      <c r="C5" s="8"/>
      <c r="D5" s="39">
        <f>Temettü_Net*Profits[[#This Row],[Brüt]]</f>
        <v>0</v>
      </c>
      <c r="E5" s="39"/>
      <c r="F5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5" s="22"/>
      <c r="H5" s="22"/>
      <c r="I5" s="40">
        <f ca="1">ROUND(Profits[[#This Row],[Lot]]*IF(Profits[[#This Row],[Özel Net]] &lt;&gt; "",Profits[[#This Row],[Özel Net]],Profits[[#This Row],[Net]])*Temettü_Komisyonu,2)+Profits[[#This Row],[Düzeltme]]</f>
        <v>0</v>
      </c>
      <c r="J5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Row],[Tarih]]))-SUMIFS(Profits[Toplam],Profits[Hisse],Profits[[#This Row],[Hisse]],Profits[Tarih],"&lt;" &amp;IF(Profits[[#This Row],[Tarih]]="",TODAY(),Profits[[#This Row],[Tarih]]))</f>
        <v>0</v>
      </c>
      <c r="K5" s="6" t="str">
        <f ca="1">IFERROR(Profits[[#This Row],[Toplam]]/Profits[[#This Row],[Maliyet]],"")</f>
        <v/>
      </c>
      <c r="L5" s="46">
        <f>YEAR(Profits[[#This Row],[Tarih]])</f>
        <v>1900</v>
      </c>
    </row>
    <row r="6" spans="1:12" x14ac:dyDescent="0.25">
      <c r="A6" s="12"/>
      <c r="C6" s="8"/>
      <c r="D6" s="39">
        <f>Temettü_Net*Profits[[#This Row],[Brüt]]</f>
        <v>0</v>
      </c>
      <c r="E6" s="39"/>
      <c r="F6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6" s="22"/>
      <c r="H6" s="22"/>
      <c r="I6" s="40">
        <f ca="1">ROUND(Profits[[#This Row],[Lot]]*IF(Profits[[#This Row],[Özel Net]] &lt;&gt; "",Profits[[#This Row],[Özel Net]],Profits[[#This Row],[Net]])*Temettü_Komisyonu,2)+Profits[[#This Row],[Düzeltme]]</f>
        <v>0</v>
      </c>
      <c r="J6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Row],[Tarih]]))-SUMIFS(Profits[Toplam],Profits[Hisse],Profits[[#This Row],[Hisse]],Profits[Tarih],"&lt;" &amp;IF(Profits[[#This Row],[Tarih]]="",TODAY(),Profits[[#This Row],[Tarih]]))</f>
        <v>0</v>
      </c>
      <c r="K6" s="6" t="str">
        <f ca="1">IFERROR(Profits[[#This Row],[Toplam]]/Profits[[#This Row],[Maliyet]],"")</f>
        <v/>
      </c>
      <c r="L6" s="46">
        <f>YEAR(Profits[[#This Row],[Tarih]])</f>
        <v>1900</v>
      </c>
    </row>
    <row r="7" spans="1:12" x14ac:dyDescent="0.25">
      <c r="A7" s="12"/>
      <c r="C7" s="8"/>
      <c r="D7" s="39">
        <f>Temettü_Net*Profits[[#This Row],[Brüt]]</f>
        <v>0</v>
      </c>
      <c r="E7" s="39"/>
      <c r="F7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7" s="22"/>
      <c r="H7" s="22"/>
      <c r="I7" s="40">
        <f ca="1">ROUND(Profits[[#This Row],[Lot]]*IF(Profits[[#This Row],[Özel Net]] &lt;&gt; "",Profits[[#This Row],[Özel Net]],Profits[[#This Row],[Net]])*Temettü_Komisyonu,2)+Profits[[#This Row],[Düzeltme]]</f>
        <v>0</v>
      </c>
      <c r="J7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Row],[Tarih]]))-SUMIFS(Profits[Toplam],Profits[Hisse],Profits[[#This Row],[Hisse]],Profits[Tarih],"&lt;" &amp;IF(Profits[[#This Row],[Tarih]]="",TODAY(),Profits[[#This Row],[Tarih]]))</f>
        <v>0</v>
      </c>
      <c r="K7" s="6" t="str">
        <f ca="1">IFERROR(Profits[[#This Row],[Toplam]]/Profits[[#This Row],[Maliyet]],"")</f>
        <v/>
      </c>
      <c r="L7" s="46">
        <f>YEAR(Profits[[#This Row],[Tarih]])</f>
        <v>1900</v>
      </c>
    </row>
    <row r="8" spans="1:12" x14ac:dyDescent="0.25">
      <c r="A8" s="12"/>
      <c r="C8" s="8"/>
      <c r="D8" s="39">
        <f>Temettü_Net*Profits[[#This Row],[Brüt]]</f>
        <v>0</v>
      </c>
      <c r="E8" s="39"/>
      <c r="F8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8" s="22"/>
      <c r="H8" s="22"/>
      <c r="I8" s="40">
        <f ca="1">ROUND(Profits[[#This Row],[Lot]]*IF(Profits[[#This Row],[Özel Net]] &lt;&gt; "",Profits[[#This Row],[Özel Net]],Profits[[#This Row],[Net]])*Temettü_Komisyonu,2)+Profits[[#This Row],[Düzeltme]]</f>
        <v>0</v>
      </c>
      <c r="J8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Row],[Tarih]]))-SUMIFS(Profits[Toplam],Profits[Hisse],Profits[[#This Row],[Hisse]],Profits[Tarih],"&lt;" &amp;IF(Profits[[#This Row],[Tarih]]="",TODAY(),Profits[[#This Row],[Tarih]]))</f>
        <v>0</v>
      </c>
      <c r="K8" s="6" t="str">
        <f ca="1">IFERROR(Profits[[#This Row],[Toplam]]/Profits[[#This Row],[Maliyet]],"")</f>
        <v/>
      </c>
      <c r="L8" s="46">
        <f>YEAR(Profits[[#This Row],[Tarih]])</f>
        <v>1900</v>
      </c>
    </row>
    <row r="9" spans="1:12" x14ac:dyDescent="0.25">
      <c r="A9" s="12"/>
      <c r="C9" s="8"/>
      <c r="D9" s="39">
        <f>Temettü_Net*Profits[[#This Row],[Brüt]]</f>
        <v>0</v>
      </c>
      <c r="E9" s="39"/>
      <c r="F9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9" s="22"/>
      <c r="H9" s="22"/>
      <c r="I9" s="40">
        <f ca="1">ROUND(Profits[[#This Row],[Lot]]*IF(Profits[[#This Row],[Özel Net]] &lt;&gt; "",Profits[[#This Row],[Özel Net]],Profits[[#This Row],[Net]])*Temettü_Komisyonu,2)+Profits[[#This Row],[Düzeltme]]</f>
        <v>0</v>
      </c>
      <c r="J9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Row],[Tarih]]))-SUMIFS(Profits[Toplam],Profits[Hisse],Profits[[#This Row],[Hisse]],Profits[Tarih],"&lt;" &amp;IF(Profits[[#This Row],[Tarih]]="",TODAY(),Profits[[#This Row],[Tarih]]))</f>
        <v>0</v>
      </c>
      <c r="K9" s="6" t="str">
        <f ca="1">IFERROR(Profits[[#This Row],[Toplam]]/Profits[[#This Row],[Maliyet]],"")</f>
        <v/>
      </c>
      <c r="L9" s="46">
        <f>YEAR(Profits[[#This Row],[Tarih]])</f>
        <v>1900</v>
      </c>
    </row>
    <row r="10" spans="1:12" x14ac:dyDescent="0.25">
      <c r="A10" s="12"/>
      <c r="C10" s="8"/>
      <c r="D10" s="39">
        <f>Temettü_Net*Profits[[#This Row],[Brüt]]</f>
        <v>0</v>
      </c>
      <c r="E10" s="39"/>
      <c r="F10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10" s="22"/>
      <c r="H10" s="22"/>
      <c r="I10" s="40">
        <f ca="1">ROUND(Profits[[#This Row],[Lot]]*IF(Profits[[#This Row],[Özel Net]] &lt;&gt; "",Profits[[#This Row],[Özel Net]],Profits[[#This Row],[Net]])*Temettü_Komisyonu,2)+Profits[[#This Row],[Düzeltme]]</f>
        <v>0</v>
      </c>
      <c r="J10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Row],[Tarih]]))-SUMIFS(Profits[Toplam],Profits[Hisse],Profits[[#This Row],[Hisse]],Profits[Tarih],"&lt;" &amp;IF(Profits[[#This Row],[Tarih]]="",TODAY(),Profits[[#This Row],[Tarih]]))</f>
        <v>0</v>
      </c>
      <c r="K10" s="6" t="str">
        <f ca="1">IFERROR(Profits[[#This Row],[Toplam]]/Profits[[#This Row],[Maliyet]],"")</f>
        <v/>
      </c>
      <c r="L10" s="46">
        <f>YEAR(Profits[[#This Row],[Tarih]])</f>
        <v>1900</v>
      </c>
    </row>
    <row r="11" spans="1:12" x14ac:dyDescent="0.25">
      <c r="A11" s="12"/>
      <c r="C11" s="8"/>
      <c r="D11" s="39">
        <f>Temettü_Net*Profits[[#This Row],[Brüt]]</f>
        <v>0</v>
      </c>
      <c r="E11" s="39"/>
      <c r="F11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11" s="22"/>
      <c r="H11" s="8"/>
      <c r="I11" s="40">
        <f ca="1">ROUND(Profits[[#This Row],[Lot]]*IF(Profits[[#This Row],[Özel Net]] &lt;&gt; "",Profits[[#This Row],[Özel Net]],Profits[[#This Row],[Net]])*Temettü_Komisyonu,2)+Profits[[#This Row],[Düzeltme]]</f>
        <v>0</v>
      </c>
      <c r="J11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Row],[Tarih]]))-SUMIFS(Profits[Toplam],Profits[Hisse],Profits[[#This Row],[Hisse]],Profits[Tarih],"&lt;" &amp;IF(Profits[[#This Row],[Tarih]]="",TODAY(),Profits[[#This Row],[Tarih]]))</f>
        <v>0</v>
      </c>
      <c r="K11" s="6" t="str">
        <f ca="1">IFERROR(Profits[[#This Row],[Toplam]]/Profits[[#This Row],[Maliyet]],"")</f>
        <v/>
      </c>
      <c r="L11" s="46">
        <f>YEAR(Profits[[#This Row],[Tarih]])</f>
        <v>1900</v>
      </c>
    </row>
    <row r="12" spans="1:12" x14ac:dyDescent="0.25">
      <c r="A12" t="s">
        <v>57</v>
      </c>
      <c r="I12" s="8">
        <f ca="1">SUBTOTAL(109,Profits[Toplam])</f>
        <v>0</v>
      </c>
      <c r="J12" s="8">
        <f ca="1">SUBTOTAL(109,Profits[Maliyet])</f>
        <v>0</v>
      </c>
      <c r="K12" s="6" t="e">
        <f ca="1">Profits[[#Totals],[Toplam]]/Profits[[#Totals],[Maliyet]]</f>
        <v>#DIV/0!</v>
      </c>
      <c r="L12"/>
    </row>
    <row r="13" spans="1:12" x14ac:dyDescent="0.25">
      <c r="I13" s="8"/>
      <c r="J13" s="8"/>
      <c r="K13" s="6"/>
      <c r="L13"/>
    </row>
    <row r="14" spans="1:12" x14ac:dyDescent="0.25">
      <c r="A14" s="37" t="s">
        <v>69</v>
      </c>
      <c r="B14" s="37" t="s">
        <v>71</v>
      </c>
      <c r="C14" s="37" t="s">
        <v>15</v>
      </c>
      <c r="D14" s="37" t="s">
        <v>70</v>
      </c>
      <c r="E14" s="37" t="s">
        <v>72</v>
      </c>
    </row>
    <row r="15" spans="1:12" x14ac:dyDescent="0.25">
      <c r="A15">
        <v>2018</v>
      </c>
      <c r="B15" s="8">
        <f>SUMIF(Profits[Yıl],TemettüOzet[[#This Row],[Yıl]],Profits[Toplam])</f>
        <v>0</v>
      </c>
      <c r="C15" s="8">
        <f>SUMIF(Profits[Yıl],TemettüOzet[[#This Row],[Yıl]],Profits[Maliyet])</f>
        <v>0</v>
      </c>
      <c r="D15" s="6">
        <f>IFERROR(TemettüOzet[[#This Row],[Temettü]]/TemettüOzet[[#This Row],[Maliyet]],0)</f>
        <v>0</v>
      </c>
      <c r="E15" s="23">
        <f>TemettüOzet[[#This Row],[Temettü]]/12</f>
        <v>0</v>
      </c>
    </row>
    <row r="16" spans="1:12" x14ac:dyDescent="0.25">
      <c r="A16">
        <v>2019</v>
      </c>
      <c r="B16" s="8">
        <f>SUMIF(Profits[Yıl],TemettüOzet[[#This Row],[Yıl]],Profits[Toplam])</f>
        <v>0</v>
      </c>
      <c r="C16" s="8">
        <f>SUMIF(Profits[Yıl],TemettüOzet[[#This Row],[Yıl]],Profits[Maliyet])</f>
        <v>0</v>
      </c>
      <c r="D16" s="6">
        <f>IFERROR(TemettüOzet[[#This Row],[Temettü]]/TemettüOzet[[#This Row],[Maliyet]],0)</f>
        <v>0</v>
      </c>
      <c r="E16" s="23">
        <f>TemettüOzet[[#This Row],[Temettü]]/12</f>
        <v>0</v>
      </c>
    </row>
    <row r="17" spans="1:5" x14ac:dyDescent="0.25">
      <c r="A17">
        <v>2020</v>
      </c>
      <c r="B17" s="8">
        <f>SUMIF(Profits[Yıl],TemettüOzet[[#This Row],[Yıl]],Profits[Toplam])</f>
        <v>0</v>
      </c>
      <c r="C17" s="8">
        <f>SUMIF(Profits[Yıl],TemettüOzet[[#This Row],[Yıl]],Profits[Maliyet])</f>
        <v>0</v>
      </c>
      <c r="D17" s="6">
        <f>IFERROR(TemettüOzet[[#This Row],[Temettü]]/TemettüOzet[[#This Row],[Maliyet]],0)</f>
        <v>0</v>
      </c>
      <c r="E17" s="23">
        <f>TemettüOzet[[#This Row],[Temettü]]/12</f>
        <v>0</v>
      </c>
    </row>
    <row r="18" spans="1:5" x14ac:dyDescent="0.25">
      <c r="B18" s="8">
        <f>SUMIF(Profits[Yıl],TemettüOzet[[#This Row],[Yıl]],Profits[Toplam])</f>
        <v>0</v>
      </c>
      <c r="C18" s="8">
        <f>SUMIF(Profits[Yıl],TemettüOzet[[#This Row],[Yıl]],Profits[Maliyet])</f>
        <v>0</v>
      </c>
      <c r="D18" s="2">
        <f>IFERROR(TemettüOzet[[#This Row],[Temettü]]/TemettüOzet[[#This Row],[Maliyet]],0)</f>
        <v>0</v>
      </c>
      <c r="E18" s="2">
        <f>TemettüOzet[[#This Row],[Temettü]]/12</f>
        <v>0</v>
      </c>
    </row>
    <row r="19" spans="1:5" x14ac:dyDescent="0.25">
      <c r="B19" s="8">
        <f>SUMIF(Profits[Yıl],TemettüOzet[[#This Row],[Yıl]],Profits[Toplam])</f>
        <v>0</v>
      </c>
      <c r="C19" s="8">
        <f>SUMIF(Profits[Yıl],TemettüOzet[[#This Row],[Yıl]],Profits[Maliyet])</f>
        <v>0</v>
      </c>
      <c r="D19" s="2">
        <f>IFERROR(TemettüOzet[[#This Row],[Temettü]]/TemettüOzet[[#This Row],[Maliyet]],0)</f>
        <v>0</v>
      </c>
      <c r="E19" s="2">
        <f>TemettüOzet[[#This Row],[Temettü]]/12</f>
        <v>0</v>
      </c>
    </row>
    <row r="20" spans="1:5" x14ac:dyDescent="0.25">
      <c r="B20" s="8">
        <f>SUMIF(Profits[Yıl],TemettüOzet[[#This Row],[Yıl]],Profits[Toplam])</f>
        <v>0</v>
      </c>
      <c r="C20" s="8">
        <f>SUMIF(Profits[Yıl],TemettüOzet[[#This Row],[Yıl]],Profits[Maliyet])</f>
        <v>0</v>
      </c>
      <c r="D20" s="2">
        <f>IFERROR(TemettüOzet[[#This Row],[Temettü]]/TemettüOzet[[#This Row],[Maliyet]],0)</f>
        <v>0</v>
      </c>
      <c r="E20" s="2">
        <f>TemettüOzet[[#This Row],[Temettü]]/12</f>
        <v>0</v>
      </c>
    </row>
    <row r="21" spans="1:5" x14ac:dyDescent="0.25">
      <c r="A21" t="s">
        <v>57</v>
      </c>
      <c r="B21" s="8">
        <f>SUBTOTAL(109,TemettüOzet[Temettü])</f>
        <v>0</v>
      </c>
      <c r="C21" s="8">
        <f>SUBTOTAL(109,TemettüOzet[Maliyet])</f>
        <v>0</v>
      </c>
      <c r="D21" s="6" t="e">
        <f>TemettüOzet[[#Totals],[Temettü]]/TemettüOzet[[#Totals],[Maliyet]]</f>
        <v>#DIV/0!</v>
      </c>
    </row>
  </sheetData>
  <conditionalFormatting sqref="A2:F11">
    <cfRule type="expression" dxfId="56" priority="107">
      <formula>AND($A2&lt;=TODAY(), NOT($A2 =""))</formula>
    </cfRule>
  </conditionalFormatting>
  <pageMargins left="0.7" right="0.7" top="0.75" bottom="0.75" header="0.3" footer="0.3"/>
  <pageSetup paperSize="9" orientation="portrait" r:id="rId1"/>
  <headerFooter>
    <oddFooter>&amp;C&amp;"Arial,Regular"&amp;10&amp;K00FF00Public</oddFooter>
    <evenFooter>&amp;C&amp;"Arial,Regular"&amp;10&amp;K00FF00Public</evenFooter>
    <firstFooter>&amp;C&amp;"Arial,Regular"&amp;10&amp;K00FF00Public</firstFooter>
  </headerFooter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autoPageBreaks="0"/>
  </sheetPr>
  <dimension ref="A1:R15"/>
  <sheetViews>
    <sheetView workbookViewId="0">
      <selection activeCell="K27" sqref="K27"/>
    </sheetView>
  </sheetViews>
  <sheetFormatPr defaultRowHeight="15" x14ac:dyDescent="0.25"/>
  <cols>
    <col min="1" max="1" width="2.140625" customWidth="1"/>
    <col min="2" max="2" width="7" bestFit="1" customWidth="1"/>
    <col min="3" max="3" width="6.42578125" bestFit="1" customWidth="1"/>
    <col min="4" max="4" width="7.7109375" bestFit="1" customWidth="1"/>
    <col min="5" max="5" width="13.85546875" bestFit="1" customWidth="1"/>
    <col min="6" max="7" width="8.140625" bestFit="1" customWidth="1"/>
    <col min="8" max="8" width="13.28515625" bestFit="1" customWidth="1"/>
    <col min="10" max="10" width="7.140625" bestFit="1" customWidth="1"/>
    <col min="11" max="11" width="9.28515625" bestFit="1" customWidth="1"/>
    <col min="12" max="12" width="2" customWidth="1"/>
    <col min="13" max="13" width="10.140625" bestFit="1" customWidth="1"/>
    <col min="14" max="14" width="6.85546875" bestFit="1" customWidth="1"/>
    <col min="15" max="15" width="5.28515625" bestFit="1" customWidth="1"/>
    <col min="16" max="16" width="11.28515625" bestFit="1" customWidth="1"/>
    <col min="17" max="17" width="12.5703125" bestFit="1" customWidth="1"/>
    <col min="18" max="18" width="1.5703125" customWidth="1"/>
  </cols>
  <sheetData>
    <row r="1" spans="1:18" ht="27" customHeight="1" x14ac:dyDescent="0.25">
      <c r="A1" s="102" t="s">
        <v>92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</row>
    <row r="2" spans="1:18" x14ac:dyDescent="0.25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</row>
    <row r="3" spans="1:18" ht="15.75" thickBot="1" x14ac:dyDescent="0.3">
      <c r="A3" s="86"/>
      <c r="B3" s="53" t="s">
        <v>25</v>
      </c>
      <c r="C3" s="54" t="s">
        <v>22</v>
      </c>
      <c r="D3" s="54" t="s">
        <v>23</v>
      </c>
      <c r="E3" s="54" t="s">
        <v>20</v>
      </c>
      <c r="F3" s="54" t="s">
        <v>15</v>
      </c>
      <c r="G3" s="54" t="s">
        <v>31</v>
      </c>
      <c r="H3" s="54" t="s">
        <v>14</v>
      </c>
      <c r="I3" s="65" t="s">
        <v>13</v>
      </c>
      <c r="J3" s="65" t="s">
        <v>21</v>
      </c>
      <c r="K3" s="54" t="s">
        <v>24</v>
      </c>
      <c r="L3" s="86"/>
      <c r="M3" s="73" t="s">
        <v>39</v>
      </c>
      <c r="N3" s="74" t="s">
        <v>25</v>
      </c>
      <c r="O3" s="74" t="s">
        <v>32</v>
      </c>
      <c r="P3" s="75" t="s">
        <v>18</v>
      </c>
      <c r="Q3" s="75" t="s">
        <v>45</v>
      </c>
      <c r="R3" s="86"/>
    </row>
    <row r="4" spans="1:18" ht="15.75" thickTop="1" x14ac:dyDescent="0.25">
      <c r="A4" s="86"/>
      <c r="B4" s="55" t="s">
        <v>4</v>
      </c>
      <c r="C4" s="51"/>
      <c r="D4" s="51"/>
      <c r="E4" s="58"/>
      <c r="F4" s="59"/>
      <c r="G4" s="58"/>
      <c r="H4" s="69"/>
      <c r="I4" s="70"/>
      <c r="J4" s="58"/>
      <c r="K4" s="68"/>
      <c r="L4" s="86"/>
      <c r="M4" s="103" t="s">
        <v>90</v>
      </c>
      <c r="N4" s="103"/>
      <c r="O4" s="103"/>
      <c r="P4" s="103"/>
      <c r="Q4" s="104"/>
      <c r="R4" s="86"/>
    </row>
    <row r="5" spans="1:18" x14ac:dyDescent="0.25">
      <c r="A5" s="86"/>
      <c r="B5" s="55" t="s">
        <v>7</v>
      </c>
      <c r="C5" s="50"/>
      <c r="D5" s="50"/>
      <c r="E5" s="56"/>
      <c r="F5" s="57"/>
      <c r="G5" s="56"/>
      <c r="H5" s="66"/>
      <c r="I5" s="67"/>
      <c r="J5" s="56"/>
      <c r="K5" s="68"/>
      <c r="L5" s="86"/>
      <c r="M5" s="82"/>
      <c r="N5" s="83"/>
      <c r="O5" s="83"/>
      <c r="P5" s="84"/>
      <c r="Q5" s="84"/>
      <c r="R5" s="86"/>
    </row>
    <row r="6" spans="1:18" x14ac:dyDescent="0.25">
      <c r="A6" s="86"/>
      <c r="B6" s="55" t="s">
        <v>5</v>
      </c>
      <c r="C6" s="50"/>
      <c r="D6" s="50"/>
      <c r="E6" s="56"/>
      <c r="F6" s="57"/>
      <c r="G6" s="56"/>
      <c r="H6" s="66"/>
      <c r="I6" s="67"/>
      <c r="J6" s="56"/>
      <c r="K6" s="68"/>
      <c r="L6" s="86"/>
      <c r="M6" s="82"/>
      <c r="N6" s="83"/>
      <c r="O6" s="83"/>
      <c r="P6" s="84"/>
      <c r="Q6" s="84"/>
      <c r="R6" s="86"/>
    </row>
    <row r="7" spans="1:18" x14ac:dyDescent="0.25">
      <c r="A7" s="86"/>
      <c r="B7" s="55" t="s">
        <v>11</v>
      </c>
      <c r="C7" s="51"/>
      <c r="D7" s="51"/>
      <c r="E7" s="58"/>
      <c r="F7" s="59"/>
      <c r="G7" s="58"/>
      <c r="H7" s="69"/>
      <c r="I7" s="70"/>
      <c r="J7" s="58"/>
      <c r="K7" s="68"/>
      <c r="L7" s="86"/>
      <c r="M7" s="82"/>
      <c r="N7" s="83"/>
      <c r="O7" s="83"/>
      <c r="P7" s="84"/>
      <c r="Q7" s="84"/>
      <c r="R7" s="86"/>
    </row>
    <row r="8" spans="1:18" x14ac:dyDescent="0.25">
      <c r="A8" s="86"/>
      <c r="B8" s="55" t="s">
        <v>3</v>
      </c>
      <c r="C8" s="50"/>
      <c r="D8" s="50"/>
      <c r="E8" s="56"/>
      <c r="F8" s="57"/>
      <c r="G8" s="56"/>
      <c r="H8" s="66"/>
      <c r="I8" s="67"/>
      <c r="J8" s="56"/>
      <c r="K8" s="68"/>
      <c r="L8" s="86"/>
      <c r="M8" s="82"/>
      <c r="N8" s="83"/>
      <c r="O8" s="83"/>
      <c r="P8" s="84"/>
      <c r="Q8" s="84"/>
      <c r="R8" s="86"/>
    </row>
    <row r="9" spans="1:18" x14ac:dyDescent="0.25">
      <c r="A9" s="86"/>
      <c r="B9" s="55" t="s">
        <v>42</v>
      </c>
      <c r="C9" s="51"/>
      <c r="D9" s="51"/>
      <c r="E9" s="58"/>
      <c r="F9" s="59"/>
      <c r="G9" s="58"/>
      <c r="H9" s="69"/>
      <c r="I9" s="70"/>
      <c r="J9" s="58"/>
      <c r="K9" s="68"/>
      <c r="L9" s="86"/>
      <c r="M9" s="76"/>
      <c r="N9" s="77"/>
      <c r="O9" s="77"/>
      <c r="P9" s="78"/>
      <c r="Q9" s="78"/>
      <c r="R9" s="86"/>
    </row>
    <row r="10" spans="1:18" x14ac:dyDescent="0.25">
      <c r="A10" s="86"/>
      <c r="B10" s="55" t="s">
        <v>10</v>
      </c>
      <c r="C10" s="51"/>
      <c r="D10" s="51"/>
      <c r="E10" s="58"/>
      <c r="F10" s="59"/>
      <c r="G10" s="58"/>
      <c r="H10" s="69"/>
      <c r="I10" s="70"/>
      <c r="J10" s="58"/>
      <c r="K10" s="68"/>
      <c r="L10" s="86"/>
      <c r="M10" s="79"/>
      <c r="N10" s="80"/>
      <c r="O10" s="80"/>
      <c r="P10" s="81"/>
      <c r="Q10" s="85">
        <f>SUM(Q5:Q9)</f>
        <v>0</v>
      </c>
      <c r="R10" s="86"/>
    </row>
    <row r="11" spans="1:18" x14ac:dyDescent="0.25">
      <c r="A11" s="86"/>
      <c r="B11" s="55" t="s">
        <v>41</v>
      </c>
      <c r="C11" s="50"/>
      <c r="D11" s="50"/>
      <c r="E11" s="56"/>
      <c r="F11" s="57"/>
      <c r="G11" s="56"/>
      <c r="H11" s="66"/>
      <c r="I11" s="67"/>
      <c r="J11" s="56"/>
      <c r="K11" s="68"/>
      <c r="L11" s="86"/>
      <c r="M11" s="105" t="s">
        <v>91</v>
      </c>
      <c r="N11" s="105"/>
      <c r="O11" s="105"/>
      <c r="P11" s="105"/>
      <c r="Q11" s="106"/>
      <c r="R11" s="86"/>
    </row>
    <row r="12" spans="1:18" ht="15.75" thickBot="1" x14ac:dyDescent="0.3">
      <c r="A12" s="86"/>
      <c r="B12" s="55" t="s">
        <v>89</v>
      </c>
      <c r="C12" s="50"/>
      <c r="D12" s="60"/>
      <c r="E12" s="58"/>
      <c r="F12" s="59"/>
      <c r="G12" s="58"/>
      <c r="H12" s="69"/>
      <c r="I12" s="70"/>
      <c r="J12" s="58"/>
      <c r="K12" s="68"/>
      <c r="L12" s="86"/>
      <c r="M12" s="82"/>
      <c r="N12" s="83"/>
      <c r="O12" s="83"/>
      <c r="P12" s="84"/>
      <c r="Q12" s="84"/>
      <c r="R12" s="86"/>
    </row>
    <row r="13" spans="1:18" ht="15.75" thickTop="1" x14ac:dyDescent="0.25">
      <c r="A13" s="86"/>
      <c r="B13" s="61"/>
      <c r="C13" s="62"/>
      <c r="D13" s="62"/>
      <c r="E13" s="63"/>
      <c r="F13" s="63"/>
      <c r="G13" s="71"/>
      <c r="H13" s="72"/>
      <c r="I13" s="64"/>
      <c r="J13" s="64"/>
      <c r="K13" s="52"/>
      <c r="L13" s="86"/>
      <c r="M13" s="76"/>
      <c r="N13" s="77"/>
      <c r="O13" s="77"/>
      <c r="P13" s="78"/>
      <c r="Q13" s="78"/>
      <c r="R13" s="86"/>
    </row>
    <row r="14" spans="1:18" x14ac:dyDescent="0.2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79"/>
      <c r="N14" s="80"/>
      <c r="O14" s="80"/>
      <c r="P14" s="81"/>
      <c r="Q14" s="85">
        <f>SUM(Q12:Q13)</f>
        <v>0</v>
      </c>
      <c r="R14" s="86"/>
    </row>
    <row r="15" spans="1:18" x14ac:dyDescent="0.2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</row>
  </sheetData>
  <mergeCells count="3">
    <mergeCell ref="A1:R1"/>
    <mergeCell ref="M4:Q4"/>
    <mergeCell ref="M11:Q11"/>
  </mergeCells>
  <conditionalFormatting sqref="G4:H12">
    <cfRule type="cellIs" dxfId="33" priority="1" operator="lessThan">
      <formula>0</formula>
    </cfRule>
    <cfRule type="cellIs" dxfId="32" priority="2" operator="greaterThan">
      <formula>0</formula>
    </cfRule>
  </conditionalFormatting>
  <conditionalFormatting sqref="B4:B12">
    <cfRule type="expression" dxfId="31" priority="3">
      <formula>D4&gt;C4</formula>
    </cfRule>
    <cfRule type="expression" dxfId="30" priority="3">
      <formula>AND(C4=0,D4=0)</formula>
    </cfRule>
    <cfRule type="expression" dxfId="29" priority="3">
      <formula>AND(C4&gt;0,D4=C4)</formula>
    </cfRule>
  </conditionalFormatting>
  <conditionalFormatting sqref="E13:F13 E4:E12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{185CC97A-6745-490A-9DC7-6256D88DA03C}</x14:id>
        </ext>
      </extLst>
    </cfRule>
  </conditionalFormatting>
  <conditionalFormatting sqref="G13">
    <cfRule type="cellIs" dxfId="28" priority="12" operator="lessThan">
      <formula>0</formula>
    </cfRule>
    <cfRule type="cellIs" dxfId="27" priority="13" operator="greaterThan">
      <formula>0</formula>
    </cfRule>
  </conditionalFormatting>
  <conditionalFormatting sqref="H13">
    <cfRule type="cellIs" dxfId="26" priority="10" operator="lessThan">
      <formula>0</formula>
    </cfRule>
    <cfRule type="cellIs" dxfId="25" priority="11" operator="greaterThan">
      <formula>0</formula>
    </cfRule>
  </conditionalFormatting>
  <pageMargins left="0.7" right="0.7" top="0.75" bottom="0.75" header="0.3" footer="0.3"/>
  <pageSetup paperSize="9" orientation="portrait" r:id="rId1"/>
  <headerFooter>
    <oddFooter>&amp;C&amp;"Arial,Regular"&amp;10&amp;K00FF00Public</oddFooter>
    <evenFooter>&amp;C&amp;"Arial,Regular"&amp;10&amp;K00FF00Public</evenFooter>
    <firstFooter>&amp;C&amp;"Arial,Regular"&amp;10&amp;K00FF00Public</first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5CC97A-6745-490A-9DC7-6256D88DA0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E13:F13 E4:E12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autoPageBreaks="0"/>
  </sheetPr>
  <dimension ref="A1:B10"/>
  <sheetViews>
    <sheetView workbookViewId="0">
      <selection activeCell="B2" sqref="B2"/>
    </sheetView>
  </sheetViews>
  <sheetFormatPr defaultRowHeight="15" x14ac:dyDescent="0.25"/>
  <cols>
    <col min="1" max="1" width="12.42578125" bestFit="1" customWidth="1"/>
  </cols>
  <sheetData>
    <row r="1" spans="1:2" x14ac:dyDescent="0.25">
      <c r="A1" s="107" t="s">
        <v>54</v>
      </c>
      <c r="B1" s="108"/>
    </row>
    <row r="2" spans="1:2" x14ac:dyDescent="0.25">
      <c r="A2" s="38" t="s">
        <v>52</v>
      </c>
      <c r="B2" s="38">
        <v>1.1499999999999999</v>
      </c>
    </row>
    <row r="3" spans="1:2" x14ac:dyDescent="0.25">
      <c r="A3" s="38" t="s">
        <v>63</v>
      </c>
      <c r="B3" s="41">
        <v>1.0499999999999999E-3</v>
      </c>
    </row>
    <row r="4" spans="1:2" x14ac:dyDescent="0.25">
      <c r="A4" s="38" t="s">
        <v>61</v>
      </c>
      <c r="B4" s="42">
        <v>0.85</v>
      </c>
    </row>
    <row r="5" spans="1:2" x14ac:dyDescent="0.25">
      <c r="A5" s="38" t="s">
        <v>62</v>
      </c>
      <c r="B5" s="43">
        <v>0.99950000000000006</v>
      </c>
    </row>
    <row r="6" spans="1:2" x14ac:dyDescent="0.25">
      <c r="A6" s="38" t="s">
        <v>37</v>
      </c>
      <c r="B6" s="43">
        <v>6.1</v>
      </c>
    </row>
    <row r="7" spans="1:2" x14ac:dyDescent="0.25">
      <c r="A7" s="38" t="s">
        <v>77</v>
      </c>
      <c r="B7" s="43">
        <v>325</v>
      </c>
    </row>
    <row r="8" spans="1:2" x14ac:dyDescent="0.25">
      <c r="A8" s="38" t="s">
        <v>84</v>
      </c>
      <c r="B8" s="43">
        <v>2.5000000000000001E-2</v>
      </c>
    </row>
    <row r="9" spans="1:2" x14ac:dyDescent="0.25">
      <c r="A9" s="38" t="s">
        <v>83</v>
      </c>
      <c r="B9" s="43">
        <v>1.09E-2</v>
      </c>
    </row>
    <row r="10" spans="1:2" x14ac:dyDescent="0.25">
      <c r="A10" s="38" t="s">
        <v>85</v>
      </c>
      <c r="B10" s="43">
        <v>0.15509999999999999</v>
      </c>
    </row>
  </sheetData>
  <mergeCells count="1">
    <mergeCell ref="A1:B1"/>
  </mergeCells>
  <pageMargins left="0.7" right="0.7" top="0.75" bottom="0.75" header="0.3" footer="0.3"/>
  <pageSetup paperSize="9" orientation="portrait" r:id="rId1"/>
  <headerFooter>
    <oddFooter>&amp;C&amp;"Arial,Regular"&amp;10&amp;K00FF00Public</oddFooter>
    <evenFooter>&amp;C&amp;"Arial,Regular"&amp;10&amp;K00FF00Public</evenFooter>
    <firstFooter>&amp;C&amp;"Arial,Regular"&amp;10&amp;K00FF00Public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d="http://www.w3.org/2001/XMLSchema" xmlns:xsi="http://www.w3.org/2001/XMLSchema-instance" xmlns="http://www.boldonjames.com/2008/01/sie/internal/label" sislVersion="0" policy="5bc6518d-5b46-4b84-b25d-10ff01fec322" origin="userSelected">
  <element uid="16670d1f-21d1-4156-b5e6-5893eb9874e9" value=""/>
</sisl>
</file>

<file path=customXml/itemProps1.xml><?xml version="1.0" encoding="utf-8"?>
<ds:datastoreItem xmlns:ds="http://schemas.openxmlformats.org/officeDocument/2006/customXml" ds:itemID="{FAAE8A4D-8446-475B-AB6B-616CCACFDFD7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6</vt:i4>
      </vt:variant>
      <vt:variant>
        <vt:lpstr>Adlandırılmış Aralıklar</vt:lpstr>
      </vt:variant>
      <vt:variant>
        <vt:i4>13</vt:i4>
      </vt:variant>
    </vt:vector>
  </HeadingPairs>
  <TitlesOfParts>
    <vt:vector size="19" baseType="lpstr">
      <vt:lpstr>Portföy</vt:lpstr>
      <vt:lpstr>Alımlar</vt:lpstr>
      <vt:lpstr>Satımlar</vt:lpstr>
      <vt:lpstr>Temettüler</vt:lpstr>
      <vt:lpstr>AylikRapor</vt:lpstr>
      <vt:lpstr>Parametreler</vt:lpstr>
      <vt:lpstr>Alım_Komisyonu</vt:lpstr>
      <vt:lpstr>Altın_Aylık</vt:lpstr>
      <vt:lpstr>Dolar_Aylık</vt:lpstr>
      <vt:lpstr>Enflasyon</vt:lpstr>
      <vt:lpstr>GAUTRY</vt:lpstr>
      <vt:lpstr>Islem_Adet</vt:lpstr>
      <vt:lpstr>Islem_Fiyat</vt:lpstr>
      <vt:lpstr>Islem_Hisse</vt:lpstr>
      <vt:lpstr>Tarih_Degiskeni</vt:lpstr>
      <vt:lpstr>Temettü_Komisyonu</vt:lpstr>
      <vt:lpstr>Temettü_Net</vt:lpstr>
      <vt:lpstr>TL_Aylık</vt:lpstr>
      <vt:lpstr>USDTRY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Mehmet Barutcu</cp:lastModifiedBy>
  <dcterms:created xsi:type="dcterms:W3CDTF">2018-02-12T08:14:25Z</dcterms:created>
  <dcterms:modified xsi:type="dcterms:W3CDTF">2020-05-31T20:01:17Z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15e99660-d67b-40c1-9147-82114721b227</vt:lpwstr>
  </property>
  <property fmtid="{D5CDD505-2E9C-101B-9397-08002B2CF9AE}" pid="3" name="bjSaver">
    <vt:lpwstr>be//K97ZldM0e5QQHtjfzUqVdr2V1bp7</vt:lpwstr>
  </property>
  <property fmtid="{D5CDD505-2E9C-101B-9397-08002B2CF9AE}" pid="4" name="bjDocumentLabelXML">
    <vt:lpwstr>&lt;?xml version="1.0" encoding="us-ascii"?&gt;&lt;sisl xmlns:xsd="http://www.w3.org/2001/XMLSchema" xmlns:xsi="http://www.w3.org/2001/XMLSchema-instance" sislVersion="0" policy="5bc6518d-5b46-4b84-b25d-10ff01fec322" origin="userSelected" xmlns="http://www.boldonj</vt:lpwstr>
  </property>
  <property fmtid="{D5CDD505-2E9C-101B-9397-08002B2CF9AE}" pid="5" name="bjDocumentLabelXML-0">
    <vt:lpwstr>ames.com/2008/01/sie/internal/label"&gt;&lt;element uid="16670d1f-21d1-4156-b5e6-5893eb9874e9" value="" /&gt;&lt;/sisl&gt;</vt:lpwstr>
  </property>
  <property fmtid="{D5CDD505-2E9C-101B-9397-08002B2CF9AE}" pid="6" name="bjDocumentSecurityLabel">
    <vt:lpwstr>Classification:Public</vt:lpwstr>
  </property>
  <property fmtid="{D5CDD505-2E9C-101B-9397-08002B2CF9AE}" pid="7" name="bjCentreFooterLabel-first">
    <vt:lpwstr>&amp;"Arial,Regular"&amp;10&amp;K00FF00Public</vt:lpwstr>
  </property>
  <property fmtid="{D5CDD505-2E9C-101B-9397-08002B2CF9AE}" pid="8" name="bjCentreFooterLabel-even">
    <vt:lpwstr>&amp;"Arial,Regular"&amp;10&amp;K00FF00Public</vt:lpwstr>
  </property>
  <property fmtid="{D5CDD505-2E9C-101B-9397-08002B2CF9AE}" pid="9" name="bjCentreFooterLabel">
    <vt:lpwstr>&amp;"Arial,Regular"&amp;10&amp;K00FF00Public</vt:lpwstr>
  </property>
</Properties>
</file>